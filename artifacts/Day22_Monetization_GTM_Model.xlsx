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7588d0cb3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62be6772ec4642e5"/>
    <x:sheet xmlns:r="http://schemas.openxmlformats.org/officeDocument/2006/relationships" name="Gia dinh" sheetId="2" r:id="R870609b2f2424ebe"/>
    <x:sheet xmlns:r="http://schemas.openxmlformats.org/officeDocument/2006/relationships" name="Unit Economics" sheetId="3" r:id="R34bb2a469dcb479d"/>
    <x:sheet xmlns:r="http://schemas.openxmlformats.org/officeDocument/2006/relationships" name="GTM" sheetId="4" r:id="Rd354c9fe5d8741cd"/>
    <x:sheet xmlns:r="http://schemas.openxmlformats.org/officeDocument/2006/relationships" name="Benchmarks" sheetId="5" r:id="R52400442958b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0"/>
    <x:numFmt numFmtId="201" formatCode="#,##0"/>
    <x:numFmt numFmtId="202" formatCode="0.0%"/>
    <x:numFmt numFmtId="203" formatCode="$0.0000"/>
    <x:numFmt numFmtId="204" formatCode="#,##0.00"/>
    <x:numFmt numFmtId="205" formatCode="0.00"/>
    <x:numFmt numFmtId="206" formatCode="0.00x"/>
    <x:numFmt numFmtId="207" formatCode="0%"/>
    <x:numFmt numFmtId="208" formatCode="$0.000"/>
    <x:numFmt numFmtId="209" formatCode="#,##0 &quot;VND&quot;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1182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F2937"/>
      <x:name val="Arial"/>
    </x:font>
    <x:font>
      <x:b/>
      <x:sz val="10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6F4E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D1D5DB"/>
      </x:bottom>
      <x:diagonal/>
    </x:border>
    <x:border>
      <x:left style="thin">
        <x:color rgb="FFB8CCD8"/>
      </x:left>
      <x:right/>
      <x:top style="thin">
        <x:color rgb="FFB8CCD8"/>
      </x:top>
      <x:bottom style="thin">
        <x:color rgb="FFB8CCD8"/>
      </x:bottom>
      <x:diagonal/>
    </x:border>
    <x:border>
      <x:left/>
      <x:right/>
      <x:top style="thin">
        <x:color rgb="FFB8CCD8"/>
      </x:top>
      <x:bottom style="thin">
        <x:color rgb="FFB8CCD8"/>
      </x:bottom>
      <x:diagonal/>
    </x:border>
    <x:border>
      <x:left/>
      <x:right style="thin">
        <x:color rgb="FFB8CCD8"/>
      </x:right>
      <x:top style="thin">
        <x:color rgb="FFB8CCD8"/>
      </x:top>
      <x:bottom style="thin">
        <x:color rgb="FFB8CCD8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9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6" fontId="1" fillId="0" borderId="5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7" fontId="1" fillId="0" borderId="4" xfId="0" applyNumberFormat="1" applyFont="1" applyFill="1" applyBorder="1" applyAlignment="1">
      <x:alignment vertical="center"/>
    </x:xf>
    <x:xf numFmtId="208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7" fontId="1" fillId="0" borderId="5" xfId="0" applyNumberFormat="1" applyFont="1" applyFill="1" applyBorder="1" applyAlignment="1">
      <x:alignment vertical="center"/>
    </x:xf>
    <x:xf numFmtId="208" fontId="1" fillId="0" borderId="5" xfId="0" applyNumberFormat="1" applyFont="1" applyFill="1" applyBorder="1" applyAlignment="1">
      <x:alignment vertical="center"/>
    </x:xf>
    <x:xf numFmtId="207" fontId="1" fillId="0" borderId="6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9" fontId="1" fillId="0" borderId="0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9" fontId="1" fillId="0" borderId="5" xfId="0" applyNumberFormat="1" applyFont="1" applyFill="1" applyBorder="1" applyAlignment="1">
      <x:alignment vertical="center"/>
    </x:xf>
    <x:xf numFmtId="209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da6afcf014fdd" /><Relationship Type="http://schemas.openxmlformats.org/officeDocument/2006/relationships/theme" Target="/xl/theme/theme1.xml" Id="Rb34fde65020c42ab" /><Relationship Type="http://schemas.openxmlformats.org/officeDocument/2006/relationships/sharedStrings" Target="/xl/sharedStrings.xml" Id="Re4ac6bc759574887" /><Relationship Type="http://schemas.openxmlformats.org/officeDocument/2006/relationships/worksheet" Target="/xl/worksheets/sheet1.xml" Id="R62be6772ec4642e5" /><Relationship Type="http://schemas.openxmlformats.org/officeDocument/2006/relationships/worksheet" Target="/xl/worksheets/sheet2.xml" Id="R870609b2f2424ebe" /><Relationship Type="http://schemas.openxmlformats.org/officeDocument/2006/relationships/worksheet" Target="/xl/worksheets/sheet3.xml" Id="R34bb2a469dcb479d" /><Relationship Type="http://schemas.openxmlformats.org/officeDocument/2006/relationships/worksheet" Target="/xl/worksheets/sheet4.xml" Id="Rd354c9fe5d8741cd" /><Relationship Type="http://schemas.openxmlformats.org/officeDocument/2006/relationships/worksheet" Target="/xl/worksheets/sheet5.xml" Id="R52400442958b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7" hidden="0" customWidth="1"/>
    <x:col min="4" max="4" width="25" hidden="0" customWidth="1"/>
    <x:col min="5" max="5" width="18" hidden="0" customWidth="1"/>
    <x:col min="6" max="6" width="34" hidden="0" customWidth="1"/>
    <x:col min="7" max="7" width="27" hidden="0" customWidth="1"/>
    <x:col min="8" max="8" width="19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hidden="0" customHeight="1">
      <x:c r="A2" s="3" t="str">
        <x:v>MediNote VN Monetization và GTM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A3" s="4" t="str">
        <x:v>Nguyễn Thị Bảo Trang - 2A202602580 - Track 1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5" hidden="0" customHeight="1">
      <x:c r="A5" s="35" t="str">
        <x:v>Quyết định chính</x:v>
      </x:c>
      <x:c r="B5" s="36"/>
      <x:c r="C5" s="36"/>
      <x:c r="D5" s="36"/>
      <x:c r="E5" s="36"/>
      <x:c r="F5" s="36"/>
      <x:c r="G5" s="36"/>
      <x:c r="H5" s="37"/>
      <x:c r="I5" s="2"/>
      <x:c r="J5" s="2"/>
      <x:c r="K5" s="2"/>
    </x:row>
    <x:row r="6" ht="15" hidden="0" customHeight="1">
      <x:c r="A6" s="27" t="str">
        <x:v>Khách hàng</x:v>
      </x:c>
      <x:c r="B6" s="30" t="str">
        <x:v>Phòng khám tư ngoại trú 3-20 bác sĩ tại Việt Nam</x:v>
      </x:c>
      <x:c r="C6" s="2"/>
      <x:c r="D6" s="10" t="str">
        <x:v>Chỉ số</x:v>
      </x:c>
      <x:c r="E6" s="12" t="str">
        <x:v>Kết quả</x:v>
      </x:c>
      <x:c r="F6" s="2"/>
      <x:c r="G6" s="2"/>
      <x:c r="H6" s="2"/>
      <x:c r="I6" s="2"/>
      <x:c r="J6" s="2"/>
      <x:c r="K6" s="2"/>
    </x:row>
    <x:row r="7" ht="24" hidden="0" customHeight="1">
      <x:c r="A7" s="28" t="str">
        <x:v>Job</x:v>
      </x:c>
      <x:c r="B7" s="31" t="str">
        <x:v>Bản nháp SOAP từ phiên khám, được bác sĩ duyệt/lưu trong 24 giờ</x:v>
      </x:c>
      <x:c r="C7" s="2"/>
      <x:c r="D7" s="18" t="str">
        <x:v>Cost/Job</x:v>
      </x:c>
      <x:c r="E7" s="70" t="n">
        <x:f>'Unit Economics'!C24</x:f>
        <x:v>2759.603260869565</x:v>
      </x:c>
      <x:c r="F7" s="2"/>
      <x:c r="G7" s="2"/>
      <x:c r="H7" s="2"/>
      <x:c r="I7" s="2"/>
      <x:c r="J7" s="2"/>
      <x:c r="K7" s="2"/>
    </x:row>
    <x:row r="8" ht="15" hidden="0" customHeight="1">
      <x:c r="A8" s="28" t="str">
        <x:v>Value Metric</x:v>
      </x:c>
      <x:c r="B8" s="31" t="str">
        <x:v>Phí tối thiểu + số job hoàn tất vượt gói</x:v>
      </x:c>
      <x:c r="C8" s="2"/>
      <x:c r="D8" s="20" t="str">
        <x:v>Giá sàn 3x</x:v>
      </x:c>
      <x:c r="E8" s="71" t="n">
        <x:f>'Unit Economics'!C25</x:f>
        <x:v>8278.809782608696</x:v>
      </x:c>
      <x:c r="F8" s="2"/>
      <x:c r="G8" s="2"/>
      <x:c r="H8" s="2"/>
      <x:c r="I8" s="2"/>
      <x:c r="J8" s="2"/>
      <x:c r="K8" s="2"/>
    </x:row>
    <x:row r="9" ht="24" hidden="0" customHeight="1">
      <x:c r="A9" s="28" t="str">
        <x:v>Gói giá</x:v>
      </x:c>
      <x:c r="B9" s="31" t="str">
        <x:v>1.990.000 VND/clinician/tháng gồm 200 job; 10.000 VND/job vượt</x:v>
      </x:c>
      <x:c r="C9" s="2"/>
      <x:c r="D9" s="20" t="str">
        <x:v>Giá hiệu dụng</x:v>
      </x:c>
      <x:c r="E9" s="71" t="n">
        <x:f>'Unit Economics'!C27</x:f>
        <x:v>9972.222222222223</x:v>
      </x:c>
      <x:c r="F9" s="2"/>
      <x:c r="G9" s="2"/>
      <x:c r="H9" s="2"/>
      <x:c r="I9" s="2"/>
      <x:c r="J9" s="2"/>
      <x:c r="K9" s="2"/>
    </x:row>
    <x:row r="10" ht="15" hidden="0" customHeight="1">
      <x:c r="A10" s="28" t="str">
        <x:v>Kênh 90 ngày</x:v>
      </x:c>
      <x:c r="B10" s="31" t="str">
        <x:v>Founder-led Sales</x:v>
      </x:c>
      <x:c r="C10" s="2"/>
      <x:c r="D10" s="20" t="str">
        <x:v>Gross Margin</x:v>
      </x:c>
      <x:c r="E10" s="49" t="n">
        <x:f>'Unit Economics'!C28</x:f>
        <x:v>0.7232709821969239</x:v>
      </x:c>
      <x:c r="F10" s="2"/>
      <x:c r="G10" s="2"/>
      <x:c r="H10" s="2"/>
      <x:c r="I10" s="2"/>
      <x:c r="J10" s="2"/>
      <x:c r="K10" s="2"/>
    </x:row>
    <x:row r="11" ht="15" hidden="0" customHeight="1">
      <x:c r="A11" s="28" t="str">
        <x:v>Pain moment</x:v>
      </x:c>
      <x:c r="B11" s="31" t="str">
        <x:v>17:30, bác sĩ chép hồ sơ trong EHR sau ca cuối</x:v>
      </x:c>
      <x:c r="C11" s="2"/>
      <x:c r="D11" s="20" t="str">
        <x:v>Breakeven completion</x:v>
      </x:c>
      <x:c r="E11" s="49" t="n">
        <x:f>'Unit Economics'!C29</x:f>
        <x:v>0.6378982412060301</x:v>
      </x:c>
      <x:c r="F11" s="2"/>
      <x:c r="G11" s="2"/>
      <x:c r="H11" s="2"/>
      <x:c r="I11" s="2"/>
      <x:c r="J11" s="2"/>
      <x:c r="K11" s="2"/>
    </x:row>
    <x:row r="12" ht="15" hidden="0" customHeight="1">
      <x:c r="A12" s="29" t="str">
        <x:v>Điểm nhúng</x:v>
      </x:c>
      <x:c r="B12" s="32" t="str">
        <x:v>Chrome extension và nút trong EHR</x:v>
      </x:c>
      <x:c r="C12" s="2"/>
      <x:c r="D12" s="20" t="str">
        <x:v>Completion mục tiêu</x:v>
      </x:c>
      <x:c r="E12" s="49" t="n">
        <x:f>'Unit Economics'!C30</x:f>
        <x:v>0.92</x:v>
      </x:c>
      <x:c r="F12" s="2"/>
      <x:c r="G12" s="2"/>
      <x:c r="H12" s="2"/>
      <x:c r="I12" s="2"/>
      <x:c r="J12" s="2"/>
      <x:c r="K12" s="2"/>
    </x:row>
    <x:row r="13" ht="15" hidden="0" customHeight="1">
      <x:c r="A13" s="2"/>
      <x:c r="B13" s="2"/>
      <x:c r="C13" s="2"/>
      <x:c r="D13" s="20" t="str">
        <x:v>Ngân sách CAC</x:v>
      </x:c>
      <x:c r="E13" s="71" t="n">
        <x:f>'Unit Economics'!C31</x:f>
        <x:v>31158513.913043477</x:v>
      </x:c>
      <x:c r="F13" s="2"/>
      <x:c r="G13" s="2"/>
      <x:c r="H13" s="2"/>
      <x:c r="I13" s="2"/>
      <x:c r="J13" s="2"/>
      <x:c r="K13" s="2"/>
    </x:row>
    <x:row r="14" ht="15" hidden="0" customHeight="1">
      <x:c r="A14" s="2"/>
      <x:c r="B14" s="2"/>
      <x:c r="C14" s="2"/>
      <x:c r="D14" s="25" t="str">
        <x:v>CAC bottom-up</x:v>
      </x:c>
      <x:c r="E14" s="72" t="n">
        <x:f>'Unit Economics'!C35</x:f>
        <x:v>7500000</x:v>
      </x:c>
      <x:c r="F14" s="2"/>
      <x:c r="G14" s="2"/>
      <x:c r="H14" s="2"/>
      <x:c r="I14" s="2"/>
      <x:c r="J14" s="2"/>
      <x:c r="K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15" hidden="0" customHeight="1">
      <x:c r="A16" s="35" t="str">
        <x:v>Điều kiện để bán được</x:v>
      </x:c>
      <x:c r="B16" s="36"/>
      <x:c r="C16" s="36"/>
      <x:c r="D16" s="36"/>
      <x:c r="E16" s="36"/>
      <x:c r="F16" s="36"/>
      <x:c r="G16" s="36"/>
      <x:c r="H16" s="37"/>
      <x:c r="I16" s="2"/>
      <x:c r="J16" s="2"/>
      <x:c r="K16" s="2"/>
    </x:row>
    <x:row r="17" ht="15" hidden="0" customHeight="1">
      <x:c r="A17" s="10" t="str">
        <x:v>Ưu tiên</x:v>
      </x:c>
      <x:c r="B17" s="11" t="str">
        <x:v>Bằng chứng cần có</x:v>
      </x:c>
      <x:c r="C17" s="11" t="str">
        <x:v>Trạng thái</x:v>
      </x:c>
      <x:c r="D17" s="11" t="str">
        <x:v>Owner</x:v>
      </x:c>
      <x:c r="E17" s="11" t="str">
        <x:v>Deadline</x:v>
      </x:c>
      <x:c r="F17" s="11" t="str">
        <x:v>Ngưỡng chấp nhận</x:v>
      </x:c>
      <x:c r="G17" s="11" t="str">
        <x:v>Nếu không đạt</x:v>
      </x:c>
      <x:c r="H17" s="12" t="str">
        <x:v>Tài liệu</x:v>
      </x:c>
      <x:c r="I17" s="2"/>
      <x:c r="J17" s="2"/>
      <x:c r="K17" s="2"/>
    </x:row>
    <x:row r="18" ht="15" hidden="0" customHeight="1">
      <x:c r="A18" s="30" t="n">
        <x:v>1</x:v>
      </x:c>
      <x:c r="B18" s="30" t="str">
        <x:v>Eval note lâm sàng tiếng Việt</x:v>
      </x:c>
      <x:c r="C18" s="30" t="str">
        <x:v>Chưa có</x:v>
      </x:c>
      <x:c r="D18" s="30" t="str">
        <x:v>Nguyễn Thị Bảo Trang</x:v>
      </x:c>
      <x:c r="E18" s="30" t="str">
        <x:v>08/11/2026</x:v>
      </x:c>
      <x:c r="F18" s="30" t="str">
        <x:v>0 lỗi nghiêm trọng; &gt;=95% field accuracy</x:v>
      </x:c>
      <x:c r="G18" s="30" t="str">
        <x:v>Giảm phạm vi hoặc giữ pilot</x:v>
      </x:c>
      <x:c r="H18" s="30" t="str">
        <x:v>Evidence Pack</x:v>
      </x:c>
      <x:c r="I18" s="2"/>
      <x:c r="J18" s="2"/>
      <x:c r="K18" s="2"/>
    </x:row>
    <x:row r="19" ht="15" hidden="0" customHeight="1">
      <x:c r="A19" s="31" t="n">
        <x:v>2</x:v>
      </x:c>
      <x:c r="B19" s="31" t="str">
        <x:v>Procurement Q&amp;A và data flow</x:v>
      </x:c>
      <x:c r="C19" s="31" t="str">
        <x:v>Bản nháp</x:v>
      </x:c>
      <x:c r="D19" s="31" t="str">
        <x:v>Nguyễn Thị Bảo Trang</x:v>
      </x:c>
      <x:c r="E19" s="31" t="str">
        <x:v>25/10/2026</x:v>
      </x:c>
      <x:c r="F19" s="31" t="str">
        <x:v>Trả lời được data use, retention, exit</x:v>
      </x:c>
      <x:c r="G19" s="31" t="str">
        <x:v>Không mở rộng pilot</x:v>
      </x:c>
      <x:c r="H19" s="31" t="str">
        <x:v>Evidence Pack</x:v>
      </x:c>
      <x:c r="I19" s="2"/>
      <x:c r="J19" s="2"/>
      <x:c r="K19" s="2"/>
    </x:row>
    <x:row r="20" ht="24" hidden="0" customHeight="1">
      <x:c r="A20" s="32" t="n">
        <x:v>3</x:v>
      </x:c>
      <x:c r="B20" s="32" t="str">
        <x:v>Pilot report</x:v>
      </x:c>
      <x:c r="C20" s="32" t="str">
        <x:v>Chưa có</x:v>
      </x:c>
      <x:c r="D20" s="32" t="str">
        <x:v>Nguyễn Thị Bảo Trang</x:v>
      </x:c>
      <x:c r="E20" s="32" t="str">
        <x:v>10/01/2027</x:v>
      </x:c>
      <x:c r="F20" s="32" t="str">
        <x:v>&gt;=8.000 note; completion &gt;=90%; GM &gt;=65%</x:v>
      </x:c>
      <x:c r="G20" s="32" t="str">
        <x:v>Đổi giá hoặc workflow</x:v>
      </x:c>
      <x:c r="H20" s="32" t="str">
        <x:v>Pilot Report</x:v>
      </x:c>
      <x:c r="I20" s="2"/>
      <x:c r="J20" s="2"/>
      <x:c r="K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  <x:mergeCell ref="A5:H5"/>
    <x:mergeCell ref="A16:H16"/>
  </x:mergeCells>
  <x:conditionalFormatting sqref="E10:E12">
    <x:cfRule type="cellIs" dxfId="3" priority="1" operator="lessThan">
      <x:formula>0.6</x:formula>
    </x:cfRule>
    <x:cfRule type="cellIs" dxfId="4" priority="2" operator="greaterThanOrEqual">
      <x:formula>0.6</x:formula>
    </x:cfRule>
  </x:conditionalFormatting>
  <x:conditionalFormatting sqref="C18:C20">
    <x:cfRule type="containsText" dxfId="5" priority="3" operator="containsText" text="Chưa có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8" hidden="0" customWidth="1"/>
    <x:col min="4" max="4" width="5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hidden="0" customHeight="1">
      <x:c r="A2" s="3" t="str">
        <x:v>Giả định đầu vào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A3" s="4" t="str">
        <x:v>Ô màu vàng là giả định có thể chỉnh sửa; giá nhà cung cấp kiểm tra ngày 08/10/2026.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5" hidden="0" customHeight="1">
      <x:c r="A5" s="10" t="str">
        <x:v>Biến đầu vào</x:v>
      </x:c>
      <x:c r="B5" s="11" t="str">
        <x:v>Giá trị</x:v>
      </x:c>
      <x:c r="C5" s="11" t="str">
        <x:v>Đơn vị</x:v>
      </x:c>
      <x:c r="D5" s="12" t="str">
        <x:v>Nguồn hoặc lý do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A6" s="27" t="str">
        <x:v>Lượt ghi âm thử</x:v>
      </x:c>
      <x:c r="B6" s="19" t="n">
        <x:v>1000</x:v>
      </x:c>
      <x:c r="C6" s="18" t="str">
        <x:v>lượt/tháng</x:v>
      </x:c>
      <x:c r="D6" s="30" t="str">
        <x:v>Đơn vị quy mô để tính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A7" s="28" t="str">
        <x:v>Tỷ lệ hoàn tất hiện tại</x:v>
      </x:c>
      <x:c r="B7" s="21" t="n">
        <x:v>0.92</x:v>
      </x:c>
      <x:c r="C7" s="20" t="str">
        <x:v>%</x:v>
      </x:c>
      <x:c r="D7" s="31" t="str">
        <x:v>Mục tiêu pilot, chưa có bằng chứng thực nghiệm</x:v>
      </x:c>
      <x:c r="E7" s="2"/>
      <x:c r="F7" s="2"/>
      <x:c r="G7" s="2"/>
      <x:c r="H7" s="2"/>
      <x:c r="I7" s="2"/>
      <x:c r="J7" s="2"/>
      <x:c r="K7" s="2"/>
    </x:row>
    <x:row r="8" ht="15" hidden="0" customHeight="1">
      <x:c r="A8" s="28" t="str">
        <x:v>Thời lượng hội thoại trung bình</x:v>
      </x:c>
      <x:c r="B8" s="22" t="n">
        <x:v>12</x:v>
      </x:c>
      <x:c r="C8" s="20" t="str">
        <x:v>phút/lượt</x:v>
      </x:c>
      <x:c r="D8" s="31" t="str">
        <x:v>Giả định phòng khám ngoại trú</x:v>
      </x:c>
      <x:c r="E8" s="2"/>
      <x:c r="F8" s="2"/>
      <x:c r="G8" s="2"/>
      <x:c r="H8" s="2"/>
      <x:c r="I8" s="2"/>
      <x:c r="J8" s="2"/>
      <x:c r="K8" s="2"/>
    </x:row>
    <x:row r="9" ht="15" hidden="0" customHeight="1">
      <x:c r="A9" s="28" t="str">
        <x:v>Tỷ giá kế hoạch</x:v>
      </x:c>
      <x:c r="B9" s="23" t="n">
        <x:v>26000</x:v>
      </x:c>
      <x:c r="C9" s="20" t="str">
        <x:v>VND/USD</x:v>
      </x:c>
      <x:c r="D9" s="31" t="str">
        <x:v>Giả định nội bộ, không phải báo giá ngân hàng</x:v>
      </x:c>
      <x:c r="E9" s="2"/>
      <x:c r="F9" s="2"/>
      <x:c r="G9" s="2"/>
      <x:c r="H9" s="2"/>
      <x:c r="I9" s="2"/>
      <x:c r="J9" s="2"/>
      <x:c r="K9" s="2"/>
    </x:row>
    <x:row r="10" ht="15" hidden="0" customHeight="1">
      <x:c r="A10" s="28" t="str">
        <x:v>gpt-transcribe</x:v>
      </x:c>
      <x:c r="B10" s="23" t="n">
        <x:v>0.0045</x:v>
      </x:c>
      <x:c r="C10" s="20" t="str">
        <x:v>USD/phút</x:v>
      </x:c>
      <x:c r="D10" s="31" t="str">
        <x:v>OpenAI API Pricing, 08/10/2026</x:v>
      </x:c>
      <x:c r="E10" s="2"/>
      <x:c r="F10" s="2"/>
      <x:c r="G10" s="2"/>
      <x:c r="H10" s="2"/>
      <x:c r="I10" s="2"/>
      <x:c r="J10" s="2"/>
      <x:c r="K10" s="2"/>
    </x:row>
    <x:row r="11" ht="15" hidden="0" customHeight="1">
      <x:c r="A11" s="28" t="str">
        <x:v>Token input mới</x:v>
      </x:c>
      <x:c r="B11" s="23" t="n">
        <x:v>6500</x:v>
      </x:c>
      <x:c r="C11" s="20" t="str">
        <x:v>token/lượt</x:v>
      </x:c>
      <x:c r="D11" s="31" t="str">
        <x:v>Transcript và thông tin phiên khám</x:v>
      </x:c>
      <x:c r="E11" s="2"/>
      <x:c r="F11" s="2"/>
      <x:c r="G11" s="2"/>
      <x:c r="H11" s="2"/>
      <x:c r="I11" s="2"/>
      <x:c r="J11" s="2"/>
      <x:c r="K11" s="2"/>
    </x:row>
    <x:row r="12" ht="15" hidden="0" customHeight="1">
      <x:c r="A12" s="28" t="str">
        <x:v>Token input cache</x:v>
      </x:c>
      <x:c r="B12" s="23" t="n">
        <x:v>2500</x:v>
      </x:c>
      <x:c r="C12" s="20" t="str">
        <x:v>token/lượt</x:v>
      </x:c>
      <x:c r="D12" s="31" t="str">
        <x:v>System prompt, schema và template</x:v>
      </x:c>
      <x:c r="E12" s="2"/>
      <x:c r="F12" s="2"/>
      <x:c r="G12" s="2"/>
      <x:c r="H12" s="2"/>
      <x:c r="I12" s="2"/>
      <x:c r="J12" s="2"/>
      <x:c r="K12" s="2"/>
    </x:row>
    <x:row r="13" ht="15" hidden="0" customHeight="1">
      <x:c r="A13" s="28" t="str">
        <x:v>Token output</x:v>
      </x:c>
      <x:c r="B13" s="23" t="n">
        <x:v>1000</x:v>
      </x:c>
      <x:c r="C13" s="20" t="str">
        <x:v>token/lượt</x:v>
      </x:c>
      <x:c r="D13" s="31" t="str">
        <x:v>Bản nháp SOAP</x:v>
      </x:c>
      <x:c r="E13" s="2"/>
      <x:c r="F13" s="2"/>
      <x:c r="G13" s="2"/>
      <x:c r="H13" s="2"/>
      <x:c r="I13" s="2"/>
      <x:c r="J13" s="2"/>
      <x:c r="K13" s="2"/>
    </x:row>
    <x:row r="14" ht="15" hidden="0" customHeight="1">
      <x:c r="A14" s="28" t="str">
        <x:v>GPT-5.4 mini input</x:v>
      </x:c>
      <x:c r="B14" s="23" t="n">
        <x:v>0.75</x:v>
      </x:c>
      <x:c r="C14" s="20" t="str">
        <x:v>USD/1M token</x:v>
      </x:c>
      <x:c r="D14" s="31" t="str">
        <x:v>OpenAI Model Pricing, 08/10/2026</x:v>
      </x:c>
      <x:c r="E14" s="2"/>
      <x:c r="F14" s="2"/>
      <x:c r="G14" s="2"/>
      <x:c r="H14" s="2"/>
      <x:c r="I14" s="2"/>
      <x:c r="J14" s="2"/>
      <x:c r="K14" s="2"/>
    </x:row>
    <x:row r="15" ht="15" hidden="0" customHeight="1">
      <x:c r="A15" s="28" t="str">
        <x:v>GPT-5.4 mini cached input</x:v>
      </x:c>
      <x:c r="B15" s="23" t="n">
        <x:v>0.075</x:v>
      </x:c>
      <x:c r="C15" s="20" t="str">
        <x:v>USD/1M token</x:v>
      </x:c>
      <x:c r="D15" s="31" t="str">
        <x:v>OpenAI Model Pricing, 08/10/2026</x:v>
      </x:c>
      <x:c r="E15" s="2"/>
      <x:c r="F15" s="2"/>
      <x:c r="G15" s="2"/>
      <x:c r="H15" s="2"/>
      <x:c r="I15" s="2"/>
      <x:c r="J15" s="2"/>
      <x:c r="K15" s="2"/>
    </x:row>
    <x:row r="16" ht="15" hidden="0" customHeight="1">
      <x:c r="A16" s="28" t="str">
        <x:v>GPT-5.4 mini output</x:v>
      </x:c>
      <x:c r="B16" s="23" t="n">
        <x:v>4.5</x:v>
      </x:c>
      <x:c r="C16" s="20" t="str">
        <x:v>USD/1M token</x:v>
      </x:c>
      <x:c r="D16" s="31" t="str">
        <x:v>OpenAI Model Pricing, 08/10/2026</x:v>
      </x:c>
      <x:c r="E16" s="2"/>
      <x:c r="F16" s="2"/>
      <x:c r="G16" s="2"/>
      <x:c r="H16" s="2"/>
      <x:c r="I16" s="2"/>
      <x:c r="J16" s="2"/>
      <x:c r="K16" s="2"/>
    </x:row>
    <x:row r="17" ht="15" hidden="0" customHeight="1">
      <x:c r="A17" s="28" t="str">
        <x:v>Retry</x:v>
      </x:c>
      <x:c r="B17" s="21" t="n">
        <x:v>0.08</x:v>
      </x:c>
      <x:c r="C17" s="20" t="str">
        <x:v>% API</x:v>
      </x:c>
      <x:c r="D17" s="31" t="str">
        <x:v>Ước tính ban đầu; phải thay bằng log pilot</x:v>
      </x:c>
      <x:c r="E17" s="2"/>
      <x:c r="F17" s="2"/>
      <x:c r="G17" s="2"/>
      <x:c r="H17" s="2"/>
      <x:c r="I17" s="2"/>
      <x:c r="J17" s="2"/>
      <x:c r="K17" s="2"/>
    </x:row>
    <x:row r="18" ht="15" hidden="0" customHeight="1">
      <x:c r="A18" s="28" t="str">
        <x:v>Infra</x:v>
      </x:c>
      <x:c r="B18" s="23" t="n">
        <x:v>0.012</x:v>
      </x:c>
      <x:c r="C18" s="20" t="str">
        <x:v>USD/lượt</x:v>
      </x:c>
      <x:c r="D18" s="31" t="str">
        <x:v>Storage, queue, encryption và logging</x:v>
      </x:c>
      <x:c r="E18" s="2"/>
      <x:c r="F18" s="2"/>
      <x:c r="G18" s="2"/>
      <x:c r="H18" s="2"/>
      <x:c r="I18" s="2"/>
      <x:c r="J18" s="2"/>
      <x:c r="K18" s="2"/>
    </x:row>
    <x:row r="19" ht="15" hidden="0" customHeight="1">
      <x:c r="A19" s="28" t="str">
        <x:v>Observability và eval</x:v>
      </x:c>
      <x:c r="B19" s="23" t="n">
        <x:v>0.008</x:v>
      </x:c>
      <x:c r="C19" s="20" t="str">
        <x:v>USD/lượt</x:v>
      </x:c>
      <x:c r="D19" s="31" t="str">
        <x:v>Theo dõi chất lượng và drift</x:v>
      </x:c>
      <x:c r="E19" s="2"/>
      <x:c r="F19" s="2"/>
      <x:c r="G19" s="2"/>
      <x:c r="H19" s="2"/>
      <x:c r="I19" s="2"/>
      <x:c r="J19" s="2"/>
      <x:c r="K19" s="2"/>
    </x:row>
    <x:row r="20" ht="15" hidden="0" customHeight="1">
      <x:c r="A20" s="28" t="str">
        <x:v>Tỷ lệ QA nội bộ</x:v>
      </x:c>
      <x:c r="B20" s="21" t="n">
        <x:v>0.03</x:v>
      </x:c>
      <x:c r="C20" s="20" t="str">
        <x:v>% lượt</x:v>
      </x:c>
      <x:c r="D20" s="31" t="str">
        <x:v>Lấy mẫu nội bộ, không phải review của bác sĩ</x:v>
      </x:c>
      <x:c r="E20" s="2"/>
      <x:c r="F20" s="2"/>
      <x:c r="G20" s="2"/>
      <x:c r="H20" s="2"/>
      <x:c r="I20" s="2"/>
      <x:c r="J20" s="2"/>
      <x:c r="K20" s="2"/>
    </x:row>
    <x:row r="21" ht="15" hidden="0" customHeight="1">
      <x:c r="A21" s="28" t="str">
        <x:v>Thời gian QA</x:v>
      </x:c>
      <x:c r="B21" s="23" t="n">
        <x:v>3</x:v>
      </x:c>
      <x:c r="C21" s="20" t="str">
        <x:v>phút/ca QA</x:v>
      </x:c>
      <x:c r="D21" s="31" t="str">
        <x:v>Ước tính</x:v>
      </x:c>
      <x:c r="E21" s="2"/>
      <x:c r="F21" s="2"/>
      <x:c r="G21" s="2"/>
      <x:c r="H21" s="2"/>
      <x:c r="I21" s="2"/>
      <x:c r="J21" s="2"/>
      <x:c r="K21" s="2"/>
    </x:row>
    <x:row r="22" ht="15" hidden="0" customHeight="1">
      <x:c r="A22" s="28" t="str">
        <x:v>Đơn giá QA</x:v>
      </x:c>
      <x:c r="B22" s="23" t="n">
        <x:v>6</x:v>
      </x:c>
      <x:c r="C22" s="20" t="str">
        <x:v>USD/giờ</x:v>
      </x:c>
      <x:c r="D22" s="31" t="str">
        <x:v>Ước tính fully loaded</x:v>
      </x:c>
      <x:c r="E22" s="2"/>
      <x:c r="F22" s="2"/>
      <x:c r="G22" s="2"/>
      <x:c r="H22" s="2"/>
      <x:c r="I22" s="2"/>
      <x:c r="J22" s="2"/>
      <x:c r="K22" s="2"/>
    </x:row>
    <x:row r="23" ht="15" hidden="0" customHeight="1">
      <x:c r="A23" s="28" t="str">
        <x:v>Ghi chú trong phí tối thiểu</x:v>
      </x:c>
      <x:c r="B23" s="24" t="n">
        <x:v>200</x:v>
      </x:c>
      <x:c r="C23" s="20" t="str">
        <x:v>job/tháng</x:v>
      </x:c>
      <x:c r="D23" s="31" t="str">
        <x:v>Gói đề xuất</x:v>
      </x:c>
      <x:c r="E23" s="2"/>
      <x:c r="F23" s="2"/>
      <x:c r="G23" s="2"/>
      <x:c r="H23" s="2"/>
      <x:c r="I23" s="2"/>
      <x:c r="J23" s="2"/>
      <x:c r="K23" s="2"/>
    </x:row>
    <x:row r="24" ht="15" hidden="0" customHeight="1">
      <x:c r="A24" s="28" t="str">
        <x:v>Phí tối thiểu</x:v>
      </x:c>
      <x:c r="B24" s="24" t="n">
        <x:v>1990000</x:v>
      </x:c>
      <x:c r="C24" s="20" t="str">
        <x:v>VND/clinician/tháng</x:v>
      </x:c>
      <x:c r="D24" s="31" t="str">
        <x:v>Bao gồm 200 job đầu</x:v>
      </x:c>
      <x:c r="E24" s="2"/>
      <x:c r="F24" s="2"/>
      <x:c r="G24" s="2"/>
      <x:c r="H24" s="2"/>
      <x:c r="I24" s="2"/>
      <x:c r="J24" s="2"/>
      <x:c r="K24" s="2"/>
    </x:row>
    <x:row r="25" ht="15" hidden="0" customHeight="1">
      <x:c r="A25" s="28" t="str">
        <x:v>Đơn giá vượt gói</x:v>
      </x:c>
      <x:c r="B25" s="24" t="n">
        <x:v>10000</x:v>
      </x:c>
      <x:c r="C25" s="20" t="str">
        <x:v>VND/job</x:v>
      </x:c>
      <x:c r="D25" s="31" t="str">
        <x:v>Tính từ job thứ 201</x:v>
      </x:c>
      <x:c r="E25" s="2"/>
      <x:c r="F25" s="2"/>
      <x:c r="G25" s="2"/>
      <x:c r="H25" s="2"/>
      <x:c r="I25" s="2"/>
      <x:c r="J25" s="2"/>
      <x:c r="K25" s="2"/>
    </x:row>
    <x:row r="26" ht="15" hidden="0" customHeight="1">
      <x:c r="A26" s="28" t="str">
        <x:v>Sản lượng điển hình</x:v>
      </x:c>
      <x:c r="B26" s="24" t="n">
        <x:v>360</x:v>
      </x:c>
      <x:c r="C26" s="20" t="str">
        <x:v>job/tháng</x:v>
      </x:c>
      <x:c r="D26" s="31" t="str">
        <x:v>18 ca/ngày x 20 ngày</x:v>
      </x:c>
      <x:c r="E26" s="2"/>
      <x:c r="F26" s="2"/>
      <x:c r="G26" s="2"/>
      <x:c r="H26" s="2"/>
      <x:c r="I26" s="2"/>
      <x:c r="J26" s="2"/>
      <x:c r="K26" s="2"/>
    </x:row>
    <x:row r="27" ht="15" hidden="0" customHeight="1">
      <x:c r="A27" s="28" t="str">
        <x:v>Lương admin y tế tham chiếu</x:v>
      </x:c>
      <x:c r="B27" s="24" t="n">
        <x:v>8000000</x:v>
      </x:c>
      <x:c r="C27" s="20" t="str">
        <x:v>VND/tháng</x:v>
      </x:c>
      <x:c r="D27" s="31" t="str">
        <x:v>Giả định cần phỏng vấn để xác nhận</x:v>
      </x:c>
      <x:c r="E27" s="2"/>
      <x:c r="F27" s="2"/>
      <x:c r="G27" s="2"/>
      <x:c r="H27" s="2"/>
      <x:c r="I27" s="2"/>
      <x:c r="J27" s="2"/>
      <x:c r="K27" s="2"/>
    </x:row>
    <x:row r="28" ht="15" hidden="0" customHeight="1">
      <x:c r="A28" s="28" t="str">
        <x:v>Giá trị giờ bác sĩ</x:v>
      </x:c>
      <x:c r="B28" s="24" t="n">
        <x:v>400000</x:v>
      </x:c>
      <x:c r="C28" s="20" t="str">
        <x:v>VND/giờ</x:v>
      </x:c>
      <x:c r="D28" s="31" t="str">
        <x:v>Giả định cơ hội</x:v>
      </x:c>
      <x:c r="E28" s="2"/>
      <x:c r="F28" s="2"/>
      <x:c r="G28" s="2"/>
      <x:c r="H28" s="2"/>
      <x:c r="I28" s="2"/>
      <x:c r="J28" s="2"/>
      <x:c r="K28" s="2"/>
    </x:row>
    <x:row r="29" ht="15" hidden="0" customHeight="1">
      <x:c r="A29" s="28" t="str">
        <x:v>Giờ tiết kiệm</x:v>
      </x:c>
      <x:c r="B29" s="24" t="n">
        <x:v>48</x:v>
      </x:c>
      <x:c r="C29" s="20" t="str">
        <x:v>giờ/tháng</x:v>
      </x:c>
      <x:c r="D29" s="31" t="str">
        <x:v>8 phút x 360 job</x:v>
      </x:c>
      <x:c r="E29" s="2"/>
      <x:c r="F29" s="2"/>
      <x:c r="G29" s="2"/>
      <x:c r="H29" s="2"/>
      <x:c r="I29" s="2"/>
      <x:c r="J29" s="2"/>
      <x:c r="K29" s="2"/>
    </x:row>
    <x:row r="30" ht="15" hidden="0" customHeight="1">
      <x:c r="A30" s="28" t="str">
        <x:v>CAC payback</x:v>
      </x:c>
      <x:c r="B30" s="24" t="n">
        <x:v>12</x:v>
      </x:c>
      <x:c r="C30" s="20" t="str">
        <x:v>tháng</x:v>
      </x:c>
      <x:c r="D30" s="31" t="str">
        <x:v>SMB</x:v>
      </x:c>
      <x:c r="E30" s="2"/>
      <x:c r="F30" s="2"/>
      <x:c r="G30" s="2"/>
      <x:c r="H30" s="2"/>
      <x:c r="I30" s="2"/>
      <x:c r="J30" s="2"/>
      <x:c r="K30" s="2"/>
    </x:row>
    <x:row r="31" ht="15" hidden="0" customHeight="1">
      <x:c r="A31" s="28" t="str">
        <x:v>Quota AE</x:v>
      </x:c>
      <x:c r="B31" s="24" t="n">
        <x:v>2400000000</x:v>
      </x:c>
      <x:c r="C31" s="20" t="str">
        <x:v>VND/năm</x:v>
      </x:c>
      <x:c r="D31" s="31" t="str">
        <x:v>Giả định motion nội địa</x:v>
      </x:c>
      <x:c r="E31" s="2"/>
      <x:c r="F31" s="2"/>
      <x:c r="G31" s="2"/>
      <x:c r="H31" s="2"/>
      <x:c r="I31" s="2"/>
      <x:c r="J31" s="2"/>
      <x:c r="K31" s="2"/>
    </x:row>
    <x:row r="32" ht="15" hidden="0" customHeight="1">
      <x:c r="A32" s="28" t="str">
        <x:v>Ngày làm việc AE</x:v>
      </x:c>
      <x:c r="B32" s="24" t="n">
        <x:v>240</x:v>
      </x:c>
      <x:c r="C32" s="20" t="str">
        <x:v>ngày/năm</x:v>
      </x:c>
      <x:c r="D32" s="31" t="str">
        <x:v>Giả định</x:v>
      </x:c>
      <x:c r="E32" s="2"/>
      <x:c r="F32" s="2"/>
      <x:c r="G32" s="2"/>
      <x:c r="H32" s="2"/>
      <x:c r="I32" s="2"/>
      <x:c r="J32" s="2"/>
      <x:c r="K32" s="2"/>
    </x:row>
    <x:row r="33" ht="15" hidden="0" customHeight="1">
      <x:c r="A33" s="28" t="str">
        <x:v>Chi phí mỗi opportunity</x:v>
      </x:c>
      <x:c r="B33" s="24" t="n">
        <x:v>2250000</x:v>
      </x:c>
      <x:c r="C33" s="20" t="str">
        <x:v>VND</x:v>
      </x:c>
      <x:c r="D33" s="31" t="str">
        <x:v>Bottom-up: demo, kỹ thuật và đi lại</x:v>
      </x:c>
      <x:c r="E33" s="2"/>
      <x:c r="F33" s="2"/>
      <x:c r="G33" s="2"/>
      <x:c r="H33" s="2"/>
      <x:c r="I33" s="2"/>
      <x:c r="J33" s="2"/>
      <x:c r="K33" s="2"/>
    </x:row>
    <x:row r="34" ht="15" hidden="0" customHeight="1">
      <x:c r="A34" s="28" t="str">
        <x:v>Win rate</x:v>
      </x:c>
      <x:c r="B34" s="21" t="n">
        <x:v>0.3</x:v>
      </x:c>
      <x:c r="C34" s="20" t="str">
        <x:v>%</x:v>
      </x:c>
      <x:c r="D34" s="31" t="str">
        <x:v>Mục tiêu founder-led sales</x:v>
      </x:c>
      <x:c r="E34" s="2"/>
      <x:c r="F34" s="2"/>
      <x:c r="G34" s="2"/>
      <x:c r="H34" s="2"/>
      <x:c r="I34" s="2"/>
      <x:c r="J34" s="2"/>
      <x:c r="K34" s="2"/>
    </x:row>
    <x:row r="35" ht="15" hidden="0" customHeight="1">
      <x:c r="A35" s="29" t="str">
        <x:v>Thời gian giữ khách</x:v>
      </x:c>
      <x:c r="B35" s="26" t="n">
        <x:v>18</x:v>
      </x:c>
      <x:c r="C35" s="25" t="str">
        <x:v>tháng</x:v>
      </x:c>
      <x:c r="D35" s="32" t="str">
        <x:v>Giả định để tính LTV:CAC</x:v>
      </x:c>
      <x:c r="E35" s="2"/>
      <x:c r="F35" s="2"/>
      <x:c r="G35" s="2"/>
      <x:c r="H35" s="2"/>
      <x:c r="I35" s="2"/>
      <x:c r="J35" s="2"/>
      <x:c r="K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7" hidden="0" customWidth="1"/>
    <x:col min="4" max="4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hidden="0" customHeight="1">
      <x:c r="A2" s="3" t="str">
        <x:v>Unit Economics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A3" s="4" t="str">
        <x:v>Chi phí chia trên job hoàn tất; HITL của bác sĩ thuộc phía khách hàng và không vào COGS.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5" hidden="0" customHeight="1">
      <x:c r="A5" s="35" t="str">
        <x:v>Chi phí trên mỗi lượt thử</x:v>
      </x:c>
      <x:c r="B5" s="36"/>
      <x:c r="C5" s="36"/>
      <x:c r="D5" s="37"/>
      <x:c r="E5" s="2"/>
      <x:c r="F5" s="2"/>
      <x:c r="G5" s="2"/>
      <x:c r="H5" s="2"/>
      <x:c r="I5" s="2"/>
      <x:c r="J5" s="2"/>
      <x:c r="K5" s="2"/>
    </x:row>
    <x:row r="6" ht="15" hidden="0" customHeight="1">
      <x:c r="A6" s="10" t="str">
        <x:v>Khoản mục</x:v>
      </x:c>
      <x:c r="B6" s="11" t="str">
        <x:v>Công thức</x:v>
      </x:c>
      <x:c r="C6" s="11" t="str">
        <x:v>USD/lượt</x:v>
      </x:c>
      <x:c r="D6" s="12" t="str">
        <x:v>Ghi chú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A7" s="18" t="str">
        <x:v>STT</x:v>
      </x:c>
      <x:c r="B7" s="18" t="str">
        <x:v>phút x giá/phút</x:v>
      </x:c>
      <x:c r="C7" s="39" t="n">
        <x:f>'Gia dinh'!B8*'Gia dinh'!B10</x:f>
        <x:v>0.05399999999999999</x:v>
      </x:c>
      <x:c r="D7" s="18" t="str">
        <x:v>Dùng giá công khai</x:v>
      </x:c>
      <x:c r="E7" s="2"/>
      <x:c r="F7" s="2"/>
      <x:c r="G7" s="2"/>
      <x:c r="H7" s="2"/>
      <x:c r="I7" s="2"/>
      <x:c r="J7" s="2"/>
      <x:c r="K7" s="2"/>
    </x:row>
    <x:row r="8" ht="15" hidden="0" customHeight="1">
      <x:c r="A8" s="20" t="str">
        <x:v>LLM input mới</x:v>
      </x:c>
      <x:c r="B8" s="20" t="str">
        <x:v>token x giá/1M</x:v>
      </x:c>
      <x:c r="C8" s="40" t="n">
        <x:f>'Gia dinh'!B11/1000000*'Gia dinh'!B14</x:f>
        <x:v>0.004875</x:v>
      </x:c>
      <x:c r="D8" s="20" t="str">
        <x:v>Transcript</x:v>
      </x:c>
      <x:c r="E8" s="2"/>
      <x:c r="F8" s="2"/>
      <x:c r="G8" s="2"/>
      <x:c r="H8" s="2"/>
      <x:c r="I8" s="2"/>
      <x:c r="J8" s="2"/>
      <x:c r="K8" s="2"/>
    </x:row>
    <x:row r="9" ht="15" hidden="0" customHeight="1">
      <x:c r="A9" s="20" t="str">
        <x:v>LLM input cache</x:v>
      </x:c>
      <x:c r="B9" s="20" t="str">
        <x:v>token x giá/1M</x:v>
      </x:c>
      <x:c r="C9" s="40" t="n">
        <x:f>'Gia dinh'!B12/1000000*'Gia dinh'!B15</x:f>
        <x:v>0.0001875</x:v>
      </x:c>
      <x:c r="D9" s="20" t="str">
        <x:v>Prompt và template</x:v>
      </x:c>
      <x:c r="E9" s="2"/>
      <x:c r="F9" s="2"/>
      <x:c r="G9" s="2"/>
      <x:c r="H9" s="2"/>
      <x:c r="I9" s="2"/>
      <x:c r="J9" s="2"/>
      <x:c r="K9" s="2"/>
    </x:row>
    <x:row r="10" ht="15" hidden="0" customHeight="1">
      <x:c r="A10" s="20" t="str">
        <x:v>LLM output</x:v>
      </x:c>
      <x:c r="B10" s="20" t="str">
        <x:v>token x giá/1M</x:v>
      </x:c>
      <x:c r="C10" s="40" t="n">
        <x:f>'Gia dinh'!B13/1000000*'Gia dinh'!B16</x:f>
        <x:v>0.0045000000000000005</x:v>
      </x:c>
      <x:c r="D10" s="20" t="str">
        <x:v>SOAP draft</x:v>
      </x:c>
      <x:c r="E10" s="2"/>
      <x:c r="F10" s="2"/>
      <x:c r="G10" s="2"/>
      <x:c r="H10" s="2"/>
      <x:c r="I10" s="2"/>
      <x:c r="J10" s="2"/>
      <x:c r="K10" s="2"/>
    </x:row>
    <x:row r="11" ht="15" hidden="0" customHeight="1">
      <x:c r="A11" s="20" t="str">
        <x:v>API subtotal</x:v>
      </x:c>
      <x:c r="B11" s="20" t="str">
        <x:v>SUM</x:v>
      </x:c>
      <x:c r="C11" s="40" t="n">
        <x:f>SUM(C7:C10)</x:f>
        <x:v>0.0635625</x:v>
      </x:c>
      <x:c r="D11" s="20" t="str">
        <x:v>STT + LLM</x:v>
      </x:c>
      <x:c r="E11" s="2"/>
      <x:c r="F11" s="2"/>
      <x:c r="G11" s="2"/>
      <x:c r="H11" s="2"/>
      <x:c r="I11" s="2"/>
      <x:c r="J11" s="2"/>
      <x:c r="K11" s="2"/>
    </x:row>
    <x:row r="12" ht="15" hidden="0" customHeight="1">
      <x:c r="A12" s="20" t="str">
        <x:v>Retry</x:v>
      </x:c>
      <x:c r="B12" s="20" t="str">
        <x:v>API x retry</x:v>
      </x:c>
      <x:c r="C12" s="40" t="n">
        <x:f>C11*'Gia dinh'!B17</x:f>
        <x:v>0.005084999999999999</x:v>
      </x:c>
      <x:c r="D12" s="20" t="str">
        <x:v>Timeout và gọi lại</x:v>
      </x:c>
      <x:c r="E12" s="2"/>
      <x:c r="F12" s="2"/>
      <x:c r="G12" s="2"/>
      <x:c r="H12" s="2"/>
      <x:c r="I12" s="2"/>
      <x:c r="J12" s="2"/>
      <x:c r="K12" s="2"/>
    </x:row>
    <x:row r="13" ht="15" hidden="0" customHeight="1">
      <x:c r="A13" s="20" t="str">
        <x:v>Infra</x:v>
      </x:c>
      <x:c r="B13" s="20" t="str">
        <x:v>giả định/lượt</x:v>
      </x:c>
      <x:c r="C13" s="40" t="n">
        <x:f>'Gia dinh'!B18</x:f>
        <x:v>0.012</x:v>
      </x:c>
      <x:c r="D13" s="20" t="str">
        <x:v>Storage, queue, encryption</x:v>
      </x:c>
      <x:c r="E13" s="2"/>
      <x:c r="F13" s="2"/>
      <x:c r="G13" s="2"/>
      <x:c r="H13" s="2"/>
      <x:c r="I13" s="2"/>
      <x:c r="J13" s="2"/>
      <x:c r="K13" s="2"/>
    </x:row>
    <x:row r="14" ht="15" hidden="0" customHeight="1">
      <x:c r="A14" s="20" t="str">
        <x:v>Observability và eval</x:v>
      </x:c>
      <x:c r="B14" s="20" t="str">
        <x:v>giả định/lượt</x:v>
      </x:c>
      <x:c r="C14" s="40" t="n">
        <x:f>'Gia dinh'!B19</x:f>
        <x:v>0.008</x:v>
      </x:c>
      <x:c r="D14" s="20" t="str">
        <x:v>Logs, quality monitoring</x:v>
      </x:c>
      <x:c r="E14" s="2"/>
      <x:c r="F14" s="2"/>
      <x:c r="G14" s="2"/>
      <x:c r="H14" s="2"/>
      <x:c r="I14" s="2"/>
      <x:c r="J14" s="2"/>
      <x:c r="K14" s="2"/>
    </x:row>
    <x:row r="15" ht="15" hidden="0" customHeight="1">
      <x:c r="A15" s="20" t="str">
        <x:v>QA nội bộ</x:v>
      </x:c>
      <x:c r="B15" s="20" t="str">
        <x:v>% QA x phút x đơn giá</x:v>
      </x:c>
      <x:c r="C15" s="40" t="n">
        <x:f>'Gia dinh'!B20*'Gia dinh'!B21/60*'Gia dinh'!B22</x:f>
        <x:v>0.009000000000000001</x:v>
      </x:c>
      <x:c r="D15" s="20" t="str">
        <x:v>Review mẫu; bác sĩ review do khách chịu</x:v>
      </x:c>
      <x:c r="E15" s="2"/>
      <x:c r="F15" s="2"/>
      <x:c r="G15" s="2"/>
      <x:c r="H15" s="2"/>
      <x:c r="I15" s="2"/>
      <x:c r="J15" s="2"/>
      <x:c r="K15" s="2"/>
    </x:row>
    <x:row r="16" ht="15" hidden="0" customHeight="1">
      <x:c r="A16" s="20" t="str">
        <x:v>Tổng Cost/Attempt</x:v>
      </x:c>
      <x:c r="B16" s="20" t="str">
        <x:v>SUM</x:v>
      </x:c>
      <x:c r="C16" s="40" t="n">
        <x:f>SUM(C11:C15)</x:f>
        <x:v>0.0976475</x:v>
      </x:c>
      <x:c r="D16" s="20" t="str">
        <x:v>COGS biến đổi</x:v>
      </x:c>
      <x:c r="E16" s="2"/>
      <x:c r="F16" s="2"/>
      <x:c r="G16" s="2"/>
      <x:c r="H16" s="2"/>
      <x:c r="I16" s="2"/>
      <x:c r="J16" s="2"/>
      <x:c r="K16" s="2"/>
    </x:row>
    <x:row r="17" ht="15" hidden="0" customHeight="1">
      <x:c r="A17" s="25" t="str">
        <x:v>HITL variant</x:v>
      </x:c>
      <x:c r="B17" s="25" t="str">
        <x:v>A</x:v>
      </x:c>
      <x:c r="C17" s="25"/>
      <x:c r="D17" s="25" t="str">
        <x:v>Phần mềm; khách chịu review lâm sàng</x:v>
      </x:c>
      <x:c r="E17" s="2"/>
      <x:c r="F17" s="2"/>
      <x:c r="G17" s="2"/>
      <x:c r="H17" s="2"/>
      <x:c r="I17" s="2"/>
      <x:c r="J17" s="2"/>
      <x:c r="K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5" hidden="0" customHeight="1">
      <x:c r="A19" s="35" t="str">
        <x:v>Giá, biên lợi nhuận và điểm hòa vốn</x:v>
      </x:c>
      <x:c r="B19" s="36"/>
      <x:c r="C19" s="36"/>
      <x:c r="D19" s="37"/>
      <x:c r="E19" s="2"/>
      <x:c r="F19" s="2"/>
      <x:c r="G19" s="2"/>
      <x:c r="H19" s="2"/>
      <x:c r="I19" s="2"/>
      <x:c r="J19" s="2"/>
      <x:c r="K19" s="2"/>
    </x:row>
    <x:row r="20" ht="15" hidden="0" customHeight="1">
      <x:c r="A20" s="10" t="str">
        <x:v>Chỉ số</x:v>
      </x:c>
      <x:c r="B20" s="11" t="str">
        <x:v>Công thức</x:v>
      </x:c>
      <x:c r="C20" s="11" t="str">
        <x:v>Kết quả</x:v>
      </x:c>
      <x:c r="D20" s="12" t="str">
        <x:v>Đơn vị</x:v>
      </x:c>
      <x:c r="E20" s="2"/>
      <x:c r="F20" s="2"/>
      <x:c r="G20" s="2"/>
      <x:c r="H20" s="2"/>
      <x:c r="I20" s="2"/>
      <x:c r="J20" s="2"/>
      <x:c r="K20" s="2"/>
    </x:row>
    <x:row r="21" ht="15" hidden="0" customHeight="1">
      <x:c r="A21" s="18" t="str">
        <x:v>Job hoàn tất</x:v>
      </x:c>
      <x:c r="B21" s="18" t="str">
        <x:v>Attempt x tỷ lệ</x:v>
      </x:c>
      <x:c r="C21" s="46" t="n">
        <x:f>'Gia dinh'!B6*'Gia dinh'!B7</x:f>
        <x:v>920</x:v>
      </x:c>
      <x:c r="D21" s="18" t="str">
        <x:v>job/tháng</x:v>
      </x:c>
      <x:c r="E21" s="2"/>
      <x:c r="F21" s="2"/>
      <x:c r="G21" s="2"/>
      <x:c r="H21" s="2"/>
      <x:c r="I21" s="2"/>
      <x:c r="J21" s="2"/>
      <x:c r="K21" s="2"/>
    </x:row>
    <x:row r="22" ht="15" hidden="0" customHeight="1">
      <x:c r="A22" s="20" t="str">
        <x:v>Tổng COGS</x:v>
      </x:c>
      <x:c r="B22" s="20" t="str">
        <x:v>Cost/Attempt x Attempt</x:v>
      </x:c>
      <x:c r="C22" s="47" t="n">
        <x:f>C16*'Gia dinh'!B6</x:f>
        <x:v>97.6475</x:v>
      </x:c>
      <x:c r="D22" s="20" t="str">
        <x:v>USD/tháng</x:v>
      </x:c>
      <x:c r="E22" s="2"/>
      <x:c r="F22" s="2"/>
      <x:c r="G22" s="2"/>
      <x:c r="H22" s="2"/>
      <x:c r="I22" s="2"/>
      <x:c r="J22" s="2"/>
      <x:c r="K22" s="2"/>
    </x:row>
    <x:row r="23" ht="15" hidden="0" customHeight="1">
      <x:c r="A23" s="20" t="str">
        <x:v>Cost/Job</x:v>
      </x:c>
      <x:c r="B23" s="20" t="str">
        <x:v>COGS / job hoàn tất</x:v>
      </x:c>
      <x:c r="C23" s="47" t="n">
        <x:f>C22/C21</x:f>
        <x:v>0.10613858695652173</x:v>
      </x:c>
      <x:c r="D23" s="20" t="str">
        <x:v>USD/job</x:v>
      </x:c>
      <x:c r="E23" s="2"/>
      <x:c r="F23" s="2"/>
      <x:c r="G23" s="2"/>
      <x:c r="H23" s="2"/>
      <x:c r="I23" s="2"/>
      <x:c r="J23" s="2"/>
      <x:c r="K23" s="2"/>
    </x:row>
    <x:row r="24" ht="15" hidden="0" customHeight="1">
      <x:c r="A24" s="20" t="str">
        <x:v>Cost/Job</x:v>
      </x:c>
      <x:c r="B24" s="20" t="str">
        <x:v>USD x FX</x:v>
      </x:c>
      <x:c r="C24" s="48" t="n">
        <x:f>C23*'Gia dinh'!B9</x:f>
        <x:v>2759.603260869565</x:v>
      </x:c>
      <x:c r="D24" s="20" t="str">
        <x:v>VND/job</x:v>
      </x:c>
      <x:c r="E24" s="2"/>
      <x:c r="F24" s="2"/>
      <x:c r="G24" s="2"/>
      <x:c r="H24" s="2"/>
      <x:c r="I24" s="2"/>
      <x:c r="J24" s="2"/>
      <x:c r="K24" s="2"/>
    </x:row>
    <x:row r="25" ht="15" hidden="0" customHeight="1">
      <x:c r="A25" s="20" t="str">
        <x:v>Giá sàn</x:v>
      </x:c>
      <x:c r="B25" s="20" t="str">
        <x:v>3 x Cost/Job</x:v>
      </x:c>
      <x:c r="C25" s="48" t="n">
        <x:f>C24*3</x:f>
        <x:v>8278.809782608696</x:v>
      </x:c>
      <x:c r="D25" s="20" t="str">
        <x:v>VND/job</x:v>
      </x:c>
      <x:c r="E25" s="2"/>
      <x:c r="F25" s="2"/>
      <x:c r="G25" s="2"/>
      <x:c r="H25" s="2"/>
      <x:c r="I25" s="2"/>
      <x:c r="J25" s="2"/>
      <x:c r="K25" s="2"/>
    </x:row>
    <x:row r="26" ht="15" hidden="0" customHeight="1">
      <x:c r="A26" s="20" t="str">
        <x:v>Doanh thu điển hình</x:v>
      </x:c>
      <x:c r="B26" s="20" t="str">
        <x:v>phí tối thiểu + overage</x:v>
      </x:c>
      <x:c r="C26" s="48" t="n">
        <x:f>'Gia dinh'!B24+MAX(0,'Gia dinh'!B26-'Gia dinh'!B23)*'Gia dinh'!B25</x:f>
        <x:v>3590000</x:v>
      </x:c>
      <x:c r="D26" s="20" t="str">
        <x:v>VND/tháng</x:v>
      </x:c>
      <x:c r="E26" s="2"/>
      <x:c r="F26" s="2"/>
      <x:c r="G26" s="2"/>
      <x:c r="H26" s="2"/>
      <x:c r="I26" s="2"/>
      <x:c r="J26" s="2"/>
      <x:c r="K26" s="2"/>
    </x:row>
    <x:row r="27" ht="15" hidden="0" customHeight="1">
      <x:c r="A27" s="20" t="str">
        <x:v>Giá hiệu dụng</x:v>
      </x:c>
      <x:c r="B27" s="20" t="str">
        <x:v>doanh thu / job</x:v>
      </x:c>
      <x:c r="C27" s="48" t="n">
        <x:f>C26/'Gia dinh'!B26</x:f>
        <x:v>9972.222222222223</x:v>
      </x:c>
      <x:c r="D27" s="20" t="str">
        <x:v>VND/job</x:v>
      </x:c>
      <x:c r="E27" s="2"/>
      <x:c r="F27" s="2"/>
      <x:c r="G27" s="2"/>
      <x:c r="H27" s="2"/>
      <x:c r="I27" s="2"/>
      <x:c r="J27" s="2"/>
      <x:c r="K27" s="2"/>
    </x:row>
    <x:row r="28" ht="15" hidden="0" customHeight="1">
      <x:c r="A28" s="20" t="str">
        <x:v>Gross Margin</x:v>
      </x:c>
      <x:c r="B28" s="20" t="str">
        <x:v>(giá - cost) / giá</x:v>
      </x:c>
      <x:c r="C28" s="49" t="n">
        <x:f>1-C24/C27</x:f>
        <x:v>0.7232709821969239</x:v>
      </x:c>
      <x:c r="D28" s="20" t="str">
        <x:v>%</x:v>
      </x:c>
      <x:c r="E28" s="2"/>
      <x:c r="F28" s="2"/>
      <x:c r="G28" s="2"/>
      <x:c r="H28" s="2"/>
      <x:c r="I28" s="2"/>
      <x:c r="J28" s="2"/>
      <x:c r="K28" s="2"/>
    </x:row>
    <x:row r="29" ht="15" hidden="0" customHeight="1">
      <x:c r="A29" s="20" t="str">
        <x:v>Breakeven completion</x:v>
      </x:c>
      <x:c r="B29" s="20" t="str">
        <x:v>GM 60%</x:v>
      </x:c>
      <x:c r="C29" s="49" t="n">
        <x:f>C16/(0.4*('Gia dinh'!B24/'Gia dinh'!B23/'Gia dinh'!B9))</x:f>
        <x:v>0.6378982412060301</x:v>
      </x:c>
      <x:c r="D29" s="20" t="str">
        <x:v>%</x:v>
      </x:c>
      <x:c r="E29" s="2"/>
      <x:c r="F29" s="2"/>
      <x:c r="G29" s="2"/>
      <x:c r="H29" s="2"/>
      <x:c r="I29" s="2"/>
      <x:c r="J29" s="2"/>
      <x:c r="K29" s="2"/>
    </x:row>
    <x:row r="30" ht="15" hidden="0" customHeight="1">
      <x:c r="A30" s="20" t="str">
        <x:v>Completion hiện tại</x:v>
      </x:c>
      <x:c r="B30" s="20" t="str">
        <x:v>giả định</x:v>
      </x:c>
      <x:c r="C30" s="49" t="n">
        <x:f>'Gia dinh'!B7</x:f>
        <x:v>0.92</x:v>
      </x:c>
      <x:c r="D30" s="20" t="str">
        <x:v>%</x:v>
      </x:c>
      <x:c r="E30" s="2"/>
      <x:c r="F30" s="2"/>
      <x:c r="G30" s="2"/>
      <x:c r="H30" s="2"/>
      <x:c r="I30" s="2"/>
      <x:c r="J30" s="2"/>
      <x:c r="K30" s="2"/>
    </x:row>
    <x:row r="31" ht="15" hidden="0" customHeight="1">
      <x:c r="A31" s="20" t="str">
        <x:v>Ngân sách CAC</x:v>
      </x:c>
      <x:c r="B31" s="20" t="str">
        <x:v>ARPU x GM x payback</x:v>
      </x:c>
      <x:c r="C31" s="48" t="n">
        <x:f>C26*C28*'Gia dinh'!B30</x:f>
        <x:v>31158513.913043477</x:v>
      </x:c>
      <x:c r="D31" s="20" t="str">
        <x:v>VND/khách</x:v>
      </x:c>
      <x:c r="E31" s="2"/>
      <x:c r="F31" s="2"/>
      <x:c r="G31" s="2"/>
      <x:c r="H31" s="2"/>
      <x:c r="I31" s="2"/>
      <x:c r="J31" s="2"/>
      <x:c r="K31" s="2"/>
    </x:row>
    <x:row r="32" ht="15" hidden="0" customHeight="1">
      <x:c r="A32" s="20" t="str">
        <x:v>ACV</x:v>
      </x:c>
      <x:c r="B32" s="20" t="str">
        <x:v>ARPU x 12</x:v>
      </x:c>
      <x:c r="C32" s="48" t="n">
        <x:f>C26*12</x:f>
        <x:v>43080000</x:v>
      </x:c>
      <x:c r="D32" s="20" t="str">
        <x:v>VND/năm</x:v>
      </x:c>
      <x:c r="E32" s="2"/>
      <x:c r="F32" s="2"/>
      <x:c r="G32" s="2"/>
      <x:c r="H32" s="2"/>
      <x:c r="I32" s="2"/>
      <x:c r="J32" s="2"/>
      <x:c r="K32" s="2"/>
    </x:row>
    <x:row r="33" ht="15" hidden="0" customHeight="1">
      <x:c r="A33" s="20" t="str">
        <x:v>Deal/AE/năm</x:v>
      </x:c>
      <x:c r="B33" s="20" t="str">
        <x:v>quota / ACV</x:v>
      </x:c>
      <x:c r="C33" s="50" t="n">
        <x:f>'Gia dinh'!B31/C32</x:f>
        <x:v>55.710306406685234</x:v>
      </x:c>
      <x:c r="D33" s="20" t="str">
        <x:v>deal</x:v>
      </x:c>
      <x:c r="E33" s="2"/>
      <x:c r="F33" s="2"/>
      <x:c r="G33" s="2"/>
      <x:c r="H33" s="2"/>
      <x:c r="I33" s="2"/>
      <x:c r="J33" s="2"/>
      <x:c r="K33" s="2"/>
    </x:row>
    <x:row r="34" ht="15" hidden="0" customHeight="1">
      <x:c r="A34" s="20" t="str">
        <x:v>Deal/AE/ngày</x:v>
      </x:c>
      <x:c r="B34" s="20" t="str">
        <x:v>deal năm / ngày làm việc</x:v>
      </x:c>
      <x:c r="C34" s="50" t="n">
        <x:f>C33/'Gia dinh'!B32</x:f>
        <x:v>0.23212627669452182</x:v>
      </x:c>
      <x:c r="D34" s="20" t="str">
        <x:v>deal/ngày</x:v>
      </x:c>
      <x:c r="E34" s="2"/>
      <x:c r="F34" s="2"/>
      <x:c r="G34" s="2"/>
      <x:c r="H34" s="2"/>
      <x:c r="I34" s="2"/>
      <x:c r="J34" s="2"/>
      <x:c r="K34" s="2"/>
    </x:row>
    <x:row r="35" ht="15" hidden="0" customHeight="1">
      <x:c r="A35" s="20" t="str">
        <x:v>CAC thực tế</x:v>
      </x:c>
      <x:c r="B35" s="20" t="str">
        <x:v>cost/opportunity / win rate</x:v>
      </x:c>
      <x:c r="C35" s="48" t="n">
        <x:f>'Gia dinh'!B33/'Gia dinh'!B34</x:f>
        <x:v>7500000</x:v>
      </x:c>
      <x:c r="D35" s="20" t="str">
        <x:v>VND/khách</x:v>
      </x:c>
      <x:c r="E35" s="2"/>
      <x:c r="F35" s="2"/>
      <x:c r="G35" s="2"/>
      <x:c r="H35" s="2"/>
      <x:c r="I35" s="2"/>
      <x:c r="J35" s="2"/>
      <x:c r="K35" s="2"/>
    </x:row>
    <x:row r="36" ht="15" hidden="0" customHeight="1">
      <x:c r="A36" s="20" t="str">
        <x:v>CAC headroom</x:v>
      </x:c>
      <x:c r="B36" s="20" t="str">
        <x:v>budget / CAC</x:v>
      </x:c>
      <x:c r="C36" s="51" t="n">
        <x:f>C31/C35</x:f>
        <x:v>4.154468521739131</x:v>
      </x:c>
      <x:c r="D36" s="20" t="str">
        <x:v>lần</x:v>
      </x:c>
      <x:c r="E36" s="2"/>
      <x:c r="F36" s="2"/>
      <x:c r="G36" s="2"/>
      <x:c r="H36" s="2"/>
      <x:c r="I36" s="2"/>
      <x:c r="J36" s="2"/>
      <x:c r="K36" s="2"/>
    </x:row>
    <x:row r="37" ht="15" hidden="0" customHeight="1">
      <x:c r="A37" s="25" t="str">
        <x:v>LTV:CAC</x:v>
      </x:c>
      <x:c r="B37" s="25" t="str">
        <x:v>ARPU x GM x lifetime / CAC</x:v>
      </x:c>
      <x:c r="C37" s="52" t="n">
        <x:f>C26*C28*'Gia dinh'!B35/C35</x:f>
        <x:v>6.2317027826086955</x:v>
      </x:c>
      <x:c r="D37" s="25" t="str">
        <x:v>lần</x:v>
      </x:c>
      <x:c r="E37" s="2"/>
      <x:c r="F37" s="2"/>
      <x:c r="G37" s="2"/>
      <x:c r="H37" s="2"/>
      <x:c r="I37" s="2"/>
      <x:c r="J37" s="2"/>
      <x:c r="K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5" hidden="0" customHeight="1">
      <x:c r="A39" s="35" t="str">
        <x:v>Neo giá trần và tối ưu chi phí</x:v>
      </x:c>
      <x:c r="B39" s="36"/>
      <x:c r="C39" s="36"/>
      <x:c r="D39" s="37"/>
      <x:c r="E39" s="2"/>
      <x:c r="F39" s="2"/>
      <x:c r="G39" s="2"/>
      <x:c r="H39" s="2"/>
      <x:c r="I39" s="2"/>
      <x:c r="J39" s="2"/>
      <x:c r="K39" s="2"/>
    </x:row>
    <x:row r="40" ht="15" hidden="0" customHeight="1">
      <x:c r="A40" s="10" t="str">
        <x:v>Chỉ số</x:v>
      </x:c>
      <x:c r="B40" s="11" t="str">
        <x:v>Phép tính</x:v>
      </x:c>
      <x:c r="C40" s="11" t="str">
        <x:v>Kết quả</x:v>
      </x:c>
      <x:c r="D40" s="12" t="str">
        <x:v>Đơn vị</x:v>
      </x:c>
      <x:c r="E40" s="2"/>
      <x:c r="F40" s="2"/>
      <x:c r="G40" s="2"/>
      <x:c r="H40" s="2"/>
      <x:c r="I40" s="2"/>
      <x:c r="J40" s="2"/>
      <x:c r="K40" s="2"/>
    </x:row>
    <x:row r="41" ht="15" hidden="0" customHeight="1">
      <x:c r="A41" s="18" t="str">
        <x:v>Giá trị thời gian tạo ra</x:v>
      </x:c>
      <x:c r="B41" s="18" t="str">
        <x:v>giờ x giá trị giờ</x:v>
      </x:c>
      <x:c r="C41" s="53" t="n">
        <x:f>'Gia dinh'!B28*'Gia dinh'!B29</x:f>
        <x:v>19200000</x:v>
      </x:c>
      <x:c r="D41" s="18" t="str">
        <x:v>VND/tháng</x:v>
      </x:c>
      <x:c r="E41" s="2"/>
      <x:c r="F41" s="2"/>
      <x:c r="G41" s="2"/>
      <x:c r="H41" s="2"/>
      <x:c r="I41" s="2"/>
      <x:c r="J41" s="2"/>
      <x:c r="K41" s="2"/>
    </x:row>
    <x:row r="42" ht="15" hidden="0" customHeight="1">
      <x:c r="A42" s="20" t="str">
        <x:v>Neo theo giá trị thấp</x:v>
      </x:c>
      <x:c r="B42" s="20" t="str">
        <x:v>10% giá trị</x:v>
      </x:c>
      <x:c r="C42" s="48" t="n">
        <x:f>C41*10%</x:f>
        <x:v>1920000</x:v>
      </x:c>
      <x:c r="D42" s="20" t="str">
        <x:v>VND/tháng</x:v>
      </x:c>
      <x:c r="E42" s="2"/>
      <x:c r="F42" s="2"/>
      <x:c r="G42" s="2"/>
      <x:c r="H42" s="2"/>
      <x:c r="I42" s="2"/>
      <x:c r="J42" s="2"/>
      <x:c r="K42" s="2"/>
    </x:row>
    <x:row r="43" ht="15" hidden="0" customHeight="1">
      <x:c r="A43" s="20" t="str">
        <x:v>Neo theo giá trị cao</x:v>
      </x:c>
      <x:c r="B43" s="20" t="str">
        <x:v>25% giá trị</x:v>
      </x:c>
      <x:c r="C43" s="48" t="n">
        <x:f>C41*25%</x:f>
        <x:v>4800000</x:v>
      </x:c>
      <x:c r="D43" s="20" t="str">
        <x:v>VND/tháng</x:v>
      </x:c>
      <x:c r="E43" s="2"/>
      <x:c r="F43" s="2"/>
      <x:c r="G43" s="2"/>
      <x:c r="H43" s="2"/>
      <x:c r="I43" s="2"/>
      <x:c r="J43" s="2"/>
      <x:c r="K43" s="2"/>
    </x:row>
    <x:row r="44" ht="15" hidden="0" customHeight="1">
      <x:c r="A44" s="20" t="str">
        <x:v>Neo theo nhân công thấp</x:v>
      </x:c>
      <x:c r="B44" s="20" t="str">
        <x:v>50% lương admin</x:v>
      </x:c>
      <x:c r="C44" s="48" t="n">
        <x:f>'Gia dinh'!B27*50%</x:f>
        <x:v>4000000</x:v>
      </x:c>
      <x:c r="D44" s="20" t="str">
        <x:v>VND/tháng</x:v>
      </x:c>
      <x:c r="E44" s="2"/>
      <x:c r="F44" s="2"/>
      <x:c r="G44" s="2"/>
      <x:c r="H44" s="2"/>
      <x:c r="I44" s="2"/>
      <x:c r="J44" s="2"/>
      <x:c r="K44" s="2"/>
    </x:row>
    <x:row r="45" ht="15" hidden="0" customHeight="1">
      <x:c r="A45" s="20" t="str">
        <x:v>Neo theo nhân công cao</x:v>
      </x:c>
      <x:c r="B45" s="20" t="str">
        <x:v>70% lương admin</x:v>
      </x:c>
      <x:c r="C45" s="48" t="n">
        <x:f>'Gia dinh'!B27*70%</x:f>
        <x:v>5600000</x:v>
      </x:c>
      <x:c r="D45" s="20" t="str">
        <x:v>VND/tháng</x:v>
      </x:c>
      <x:c r="E45" s="2"/>
      <x:c r="F45" s="2"/>
      <x:c r="G45" s="2"/>
      <x:c r="H45" s="2"/>
      <x:c r="I45" s="2"/>
      <x:c r="J45" s="2"/>
      <x:c r="K45" s="2"/>
    </x:row>
    <x:row r="46" ht="15" hidden="0" customHeight="1">
      <x:c r="A46" s="25" t="str">
        <x:v>Tiết kiệm COGS nếu dùng Batch</x:v>
      </x:c>
      <x:c r="B46" s="25" t="str">
        <x:v>mô phỏng LLM giảm 50%</x:v>
      </x:c>
      <x:c r="C46" s="54" t="n">
        <x:f>1-((C7+(SUM(C8:C10)*50%))*(1+'Gia dinh'!B17)+C13+C14+C15)/C16</x:f>
        <x:v>0.05288153818582142</x:v>
      </x:c>
      <x:c r="D46" s="25" t="str">
        <x:v>%</x:v>
      </x:c>
      <x:c r="E46" s="2"/>
      <x:c r="F46" s="2"/>
      <x:c r="G46" s="2"/>
      <x:c r="H46" s="2"/>
      <x:c r="I46" s="2"/>
      <x:c r="J46" s="2"/>
      <x:c r="K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5" hidden="0" customHeight="1">
      <x:c r="A48" s="35" t="str">
        <x:v>Sensitivity theo tỷ lệ hoàn tất</x:v>
      </x:c>
      <x:c r="B48" s="36"/>
      <x:c r="C48" s="36"/>
      <x:c r="D48" s="37"/>
      <x:c r="E48" s="2"/>
      <x:c r="F48" s="2"/>
      <x:c r="G48" s="2"/>
      <x:c r="H48" s="2"/>
      <x:c r="I48" s="2"/>
      <x:c r="J48" s="2"/>
      <x:c r="K48" s="2"/>
    </x:row>
    <x:row r="49" ht="15" hidden="0" customHeight="1">
      <x:c r="A49" s="10" t="str">
        <x:v>Completion</x:v>
      </x:c>
      <x:c r="B49" s="11" t="str">
        <x:v>Cost/Job USD</x:v>
      </x:c>
      <x:c r="C49" s="11" t="str">
        <x:v>Cost/Job VND</x:v>
      </x:c>
      <x:c r="D49" s="12" t="str">
        <x:v>Gross Margin</x:v>
      </x:c>
      <x:c r="E49" s="2"/>
      <x:c r="F49" s="2"/>
      <x:c r="G49" s="2"/>
      <x:c r="H49" s="2"/>
      <x:c r="I49" s="2"/>
      <x:c r="J49" s="2"/>
      <x:c r="K49" s="2"/>
    </x:row>
    <x:row r="50" ht="15" hidden="0" customHeight="1">
      <x:c r="A50" s="57" t="n">
        <x:v>0.5</x:v>
      </x:c>
      <x:c r="B50" s="58" t="n">
        <x:f>$C$16/A50</x:f>
        <x:v>0.195295</x:v>
      </x:c>
      <x:c r="C50" s="53" t="n">
        <x:f>B50*'Gia dinh'!$B$9</x:f>
        <x:v>5077.67</x:v>
      </x:c>
      <x:c r="D50" s="59" t="n">
        <x:f>1-C50/('Gia dinh'!$B$24/'Gia dinh'!$B$23)</x:f>
        <x:v>0.4896814070351758</x:v>
      </x:c>
      <x:c r="E50" s="2"/>
      <x:c r="F50" s="2"/>
      <x:c r="G50" s="2"/>
      <x:c r="H50" s="2"/>
      <x:c r="I50" s="2"/>
      <x:c r="J50" s="2"/>
      <x:c r="K50" s="2"/>
    </x:row>
    <x:row r="51" ht="15" hidden="0" customHeight="1">
      <x:c r="A51" s="60" t="n">
        <x:v>0.6</x:v>
      </x:c>
      <x:c r="B51" s="61" t="n">
        <x:f>$C$16/A51</x:f>
        <x:v>0.16274583333333334</x:v>
      </x:c>
      <x:c r="C51" s="48" t="n">
        <x:f>B51*'Gia dinh'!$B$9</x:f>
        <x:v>4231.391666666666</x:v>
      </x:c>
      <x:c r="D51" s="49" t="n">
        <x:f>1-C51/('Gia dinh'!$B$24/'Gia dinh'!$B$23)</x:f>
        <x:v>0.5747345058626465</x:v>
      </x:c>
      <x:c r="E51" s="2"/>
      <x:c r="F51" s="2"/>
      <x:c r="G51" s="2"/>
      <x:c r="H51" s="2"/>
      <x:c r="I51" s="2"/>
      <x:c r="J51" s="2"/>
      <x:c r="K51" s="2"/>
    </x:row>
    <x:row r="52" ht="15" hidden="0" customHeight="1">
      <x:c r="A52" s="60" t="n">
        <x:v>0.7</x:v>
      </x:c>
      <x:c r="B52" s="61" t="n">
        <x:f>$C$16/A52</x:f>
        <x:v>0.13949642857142858</x:v>
      </x:c>
      <x:c r="C52" s="48" t="n">
        <x:f>B52*'Gia dinh'!$B$9</x:f>
        <x:v>3626.907142857143</x:v>
      </x:c>
      <x:c r="D52" s="49" t="n">
        <x:f>1-C52/('Gia dinh'!$B$24/'Gia dinh'!$B$23)</x:f>
        <x:v>0.63548671931084</x:v>
      </x:c>
      <x:c r="E52" s="2"/>
      <x:c r="F52" s="2"/>
      <x:c r="G52" s="2"/>
      <x:c r="H52" s="2"/>
      <x:c r="I52" s="2"/>
      <x:c r="J52" s="2"/>
      <x:c r="K52" s="2"/>
    </x:row>
    <x:row r="53" ht="15" hidden="0" customHeight="1">
      <x:c r="A53" s="60" t="n">
        <x:v>0.8</x:v>
      </x:c>
      <x:c r="B53" s="61" t="n">
        <x:f>$C$16/A53</x:f>
        <x:v>0.122059375</x:v>
      </x:c>
      <x:c r="C53" s="48" t="n">
        <x:f>B53*'Gia dinh'!$B$9</x:f>
        <x:v>3173.54375</x:v>
      </x:c>
      <x:c r="D53" s="49" t="n">
        <x:f>1-C53/('Gia dinh'!$B$24/'Gia dinh'!$B$23)</x:f>
        <x:v>0.6810508793969849</x:v>
      </x:c>
      <x:c r="E53" s="2"/>
      <x:c r="F53" s="2"/>
      <x:c r="G53" s="2"/>
      <x:c r="H53" s="2"/>
      <x:c r="I53" s="2"/>
      <x:c r="J53" s="2"/>
      <x:c r="K53" s="2"/>
    </x:row>
    <x:row r="54" ht="15" hidden="0" customHeight="1">
      <x:c r="A54" s="60" t="n">
        <x:v>0.9</x:v>
      </x:c>
      <x:c r="B54" s="61" t="n">
        <x:f>$C$16/A54</x:f>
        <x:v>0.10849722222222222</x:v>
      </x:c>
      <x:c r="C54" s="48" t="n">
        <x:f>B54*'Gia dinh'!$B$9</x:f>
        <x:v>2820.9277777777775</x:v>
      </x:c>
      <x:c r="D54" s="49" t="n">
        <x:f>1-C54/('Gia dinh'!$B$24/'Gia dinh'!$B$23)</x:f>
        <x:v>0.7164896705750977</x:v>
      </x:c>
      <x:c r="E54" s="2"/>
      <x:c r="F54" s="2"/>
      <x:c r="G54" s="2"/>
      <x:c r="H54" s="2"/>
      <x:c r="I54" s="2"/>
      <x:c r="J54" s="2"/>
      <x:c r="K54" s="2"/>
    </x:row>
    <x:row r="55" ht="15" hidden="0" customHeight="1">
      <x:c r="A55" s="60" t="n">
        <x:v>0.92</x:v>
      </x:c>
      <x:c r="B55" s="61" t="n">
        <x:f>$C$16/A55</x:f>
        <x:v>0.10613858695652173</x:v>
      </x:c>
      <x:c r="C55" s="48" t="n">
        <x:f>B55*'Gia dinh'!$B$9</x:f>
        <x:v>2759.603260869565</x:v>
      </x:c>
      <x:c r="D55" s="49" t="n">
        <x:f>1-C55/('Gia dinh'!$B$24/'Gia dinh'!$B$23)</x:f>
        <x:v>0.7226529386060738</x:v>
      </x:c>
      <x:c r="E55" s="2"/>
      <x:c r="F55" s="2"/>
      <x:c r="G55" s="2"/>
      <x:c r="H55" s="2"/>
      <x:c r="I55" s="2"/>
      <x:c r="J55" s="2"/>
      <x:c r="K55" s="2"/>
    </x:row>
    <x:row r="56" ht="15" hidden="0" customHeight="1">
      <x:c r="A56" s="62" t="n">
        <x:v>0.95</x:v>
      </x:c>
      <x:c r="B56" s="63" t="n">
        <x:f>$C$16/A56</x:f>
        <x:v>0.10278684210526316</x:v>
      </x:c>
      <x:c r="C56" s="64" t="n">
        <x:f>B56*'Gia dinh'!$B$9</x:f>
        <x:v>2672.4578947368423</x:v>
      </x:c>
      <x:c r="D56" s="54" t="n">
        <x:f>1-C56/('Gia dinh'!$B$24/'Gia dinh'!$B$23)</x:f>
        <x:v>0.7314112668606189</x:v>
      </x:c>
      <x:c r="E56" s="2"/>
      <x:c r="F56" s="2"/>
      <x:c r="G56" s="2"/>
      <x:c r="H56" s="2"/>
      <x:c r="I56" s="2"/>
      <x:c r="J56" s="2"/>
      <x:c r="K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  <x:mergeCell ref="A5:D5"/>
    <x:mergeCell ref="A19:D19"/>
    <x:mergeCell ref="A39:D39"/>
    <x:mergeCell ref="A48:D48"/>
  </x:mergeCells>
  <x:conditionalFormatting sqref="A28:D30">
    <x:cfRule type="cellIs" dxfId="0" priority="1" operator="lessThan">
      <x:formula>0.6</x:formula>
    </x:cfRule>
  </x:conditionalFormatting>
  <x:conditionalFormatting sqref="D50:D56">
    <x:cfRule type="cellIs" dxfId="1" priority="2" operator="lessThan">
      <x:formula>0.6</x:formula>
    </x:cfRule>
    <x:cfRule type="cellIs" dxfId="2" priority="3" operator="greaterThanOrEqual">
      <x:formula>0.6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B8A"/>
  </x:sheetPr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4" hidden="0" customWidth="1"/>
    <x:col min="4" max="4" width="48" hidden="0" customWidth="1"/>
    <x:col min="5" max="5" width="42" hidden="0" customWidth="1"/>
    <x:col min="6" max="6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hidden="0" customHeight="1">
      <x:c r="A2" s="3" t="str">
        <x:v>Kế hoạch GTM 90 ngày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A3" s="4" t="str">
        <x:v>Chọn một kênh: founder-led Sales cho phòng khám tư ngoại trú tại Việt Nam.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5" hidden="0" customHeight="1">
      <x:c r="A5" s="35" t="str">
        <x:v>Affordability test và lựa chọn kênh</x:v>
      </x:c>
      <x:c r="B5" s="36"/>
      <x:c r="C5" s="36"/>
      <x:c r="D5" s="36"/>
      <x:c r="E5" s="36"/>
      <x:c r="F5" s="37"/>
      <x:c r="G5" s="2"/>
      <x:c r="H5" s="2"/>
      <x:c r="I5" s="2"/>
      <x:c r="J5" s="2"/>
      <x:c r="K5" s="2"/>
    </x:row>
    <x:row r="6" ht="15" hidden="0" customHeight="1">
      <x:c r="A6" s="10" t="str">
        <x:v>Chỉ số</x:v>
      </x:c>
      <x:c r="B6" s="11" t="str">
        <x:v>Kết quả</x:v>
      </x:c>
      <x:c r="C6" s="11" t="str">
        <x:v>Tiêu chuẩn</x:v>
      </x:c>
      <x:c r="D6" s="11" t="str">
        <x:v>PLG</x:v>
      </x:c>
      <x:c r="E6" s="11" t="str">
        <x:v>Sales-led</x:v>
      </x:c>
      <x:c r="F6" s="12" t="str">
        <x:v>Partner-led</x:v>
      </x:c>
      <x:c r="G6" s="2"/>
      <x:c r="H6" s="2"/>
      <x:c r="I6" s="2"/>
      <x:c r="J6" s="2"/>
      <x:c r="K6" s="2"/>
    </x:row>
    <x:row r="7" ht="15" hidden="0" customHeight="1">
      <x:c r="A7" s="18" t="str">
        <x:v>ARPU điển hình</x:v>
      </x:c>
      <x:c r="B7" s="53" t="n">
        <x:f>'Unit Economics'!C26</x:f>
        <x:v>3590000</x:v>
      </x:c>
      <x:c r="C7" s="18" t="str">
        <x:v>VND/tháng</x:v>
      </x:c>
      <x:c r="D7" s="18" t="n">
        <x:v>2</x:v>
      </x:c>
      <x:c r="E7" s="18" t="n">
        <x:v>4</x:v>
      </x:c>
      <x:c r="F7" s="18" t="n">
        <x:v>3</x:v>
      </x:c>
      <x:c r="G7" s="2"/>
      <x:c r="H7" s="2"/>
      <x:c r="I7" s="2"/>
      <x:c r="J7" s="2"/>
      <x:c r="K7" s="2"/>
    </x:row>
    <x:row r="8" ht="15" hidden="0" customHeight="1">
      <x:c r="A8" s="20" t="str">
        <x:v>Ngân sách CAC</x:v>
      </x:c>
      <x:c r="B8" s="48" t="n">
        <x:f>'Unit Economics'!C31</x:f>
        <x:v>31158513.913043477</x:v>
      </x:c>
      <x:c r="C8" s="20" t="str">
        <x:v>VND/khách</x:v>
      </x:c>
      <x:c r="D8" s="20" t="n">
        <x:v>1</x:v>
      </x:c>
      <x:c r="E8" s="20" t="n">
        <x:v>5</x:v>
      </x:c>
      <x:c r="F8" s="20" t="n">
        <x:v>4</x:v>
      </x:c>
      <x:c r="G8" s="2"/>
      <x:c r="H8" s="2"/>
      <x:c r="I8" s="2"/>
      <x:c r="J8" s="2"/>
      <x:c r="K8" s="2"/>
    </x:row>
    <x:row r="9" ht="15" hidden="0" customHeight="1">
      <x:c r="A9" s="20" t="str">
        <x:v>CAC bottom-up</x:v>
      </x:c>
      <x:c r="B9" s="48" t="n">
        <x:f>'Unit Economics'!C35</x:f>
        <x:v>7500000</x:v>
      </x:c>
      <x:c r="C9" s="20" t="str">
        <x:v>VND/khách</x:v>
      </x:c>
      <x:c r="D9" s="20" t="n">
        <x:v>2</x:v>
      </x:c>
      <x:c r="E9" s="20" t="n">
        <x:v>5</x:v>
      </x:c>
      <x:c r="F9" s="20" t="n">
        <x:v>4</x:v>
      </x:c>
      <x:c r="G9" s="2"/>
      <x:c r="H9" s="2"/>
      <x:c r="I9" s="2"/>
      <x:c r="J9" s="2"/>
      <x:c r="K9" s="2"/>
    </x:row>
    <x:row r="10" ht="15" hidden="0" customHeight="1">
      <x:c r="A10" s="20" t="str">
        <x:v>Khoảng đệm CAC</x:v>
      </x:c>
      <x:c r="B10" s="51" t="n">
        <x:f>'Unit Economics'!C36</x:f>
        <x:v>4.154468521739131</x:v>
      </x:c>
      <x:c r="C10" s="20" t="str">
        <x:v>lần</x:v>
      </x:c>
      <x:c r="D10" s="20" t="n">
        <x:v>5</x:v>
      </x:c>
      <x:c r="E10" s="20" t="n">
        <x:v>3</x:v>
      </x:c>
      <x:c r="F10" s="20" t="n">
        <x:v>4</x:v>
      </x:c>
      <x:c r="G10" s="2"/>
      <x:c r="H10" s="2"/>
      <x:c r="I10" s="2"/>
      <x:c r="J10" s="2"/>
      <x:c r="K10" s="2"/>
    </x:row>
    <x:row r="11" ht="15" hidden="0" customHeight="1">
      <x:c r="A11" s="20" t="str">
        <x:v>Deal/AE/ngày</x:v>
      </x:c>
      <x:c r="B11" s="50" t="n">
        <x:f>'Unit Economics'!C34</x:f>
        <x:v>0.23212627669452182</x:v>
      </x:c>
      <x:c r="C11" s="20" t="str">
        <x:v>&lt;= 1 khả thi</x:v>
      </x:c>
      <x:c r="D11" s="20" t="n">
        <x:v>3</x:v>
      </x:c>
      <x:c r="E11" s="20" t="n">
        <x:v>5</x:v>
      </x:c>
      <x:c r="F11" s="20" t="n">
        <x:v>3</x:v>
      </x:c>
      <x:c r="G11" s="2"/>
      <x:c r="H11" s="2"/>
      <x:c r="I11" s="2"/>
      <x:c r="J11" s="2"/>
      <x:c r="K11" s="2"/>
    </x:row>
    <x:row r="12" ht="15" hidden="0" customHeight="1">
      <x:c r="A12" s="20" t="str">
        <x:v>LTV:CAC</x:v>
      </x:c>
      <x:c r="B12" s="51" t="n">
        <x:f>'Unit Economics'!C37</x:f>
        <x:v>6.2317027826086955</x:v>
      </x:c>
      <x:c r="C12" s="20" t="str">
        <x:v>&gt;= 3x</x:v>
      </x:c>
      <x:c r="D12" s="20" t="n">
        <x:v>5</x:v>
      </x:c>
      <x:c r="E12" s="20" t="n">
        <x:v>3</x:v>
      </x:c>
      <x:c r="F12" s="20" t="n">
        <x:v>4</x:v>
      </x:c>
      <x:c r="G12" s="2"/>
      <x:c r="H12" s="2"/>
      <x:c r="I12" s="2"/>
      <x:c r="J12" s="2"/>
      <x:c r="K12" s="2"/>
    </x:row>
    <x:row r="13" ht="15" hidden="0" customHeight="1">
      <x:c r="A13" s="25" t="str">
        <x:v>Kênh chọn</x:v>
      </x:c>
      <x:c r="B13" s="25" t="str">
        <x:v>Sales-led</x:v>
      </x:c>
      <x:c r="C13" s="25" t="str">
        <x:v>Founder-led trong 90 ngày</x:v>
      </x:c>
      <x:c r="D13" s="25"/>
      <x:c r="E13" s="25"/>
      <x:c r="F13" s="25"/>
      <x:c r="G13" s="2"/>
      <x:c r="H13" s="2"/>
      <x:c r="I13" s="2"/>
      <x:c r="J13" s="2"/>
      <x:c r="K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15" hidden="0" customHeight="1">
      <x:c r="A15" s="10" t="str">
        <x:v>Tiêu chí</x:v>
      </x:c>
      <x:c r="B15" s="11" t="str">
        <x:v>Trọng số</x:v>
      </x:c>
      <x:c r="C15" s="11" t="str">
        <x:v>PLG</x:v>
      </x:c>
      <x:c r="D15" s="11" t="str">
        <x:v>Sales-led</x:v>
      </x:c>
      <x:c r="E15" s="11" t="str">
        <x:v>Partner-led</x:v>
      </x:c>
      <x:c r="F15" s="12" t="str">
        <x:v>Ghi chú</x:v>
      </x:c>
      <x:c r="G15" s="2"/>
      <x:c r="H15" s="2"/>
      <x:c r="I15" s="2"/>
      <x:c r="J15" s="2"/>
      <x:c r="K15" s="2"/>
    </x:row>
    <x:row r="16" ht="15" hidden="0" customHeight="1">
      <x:c r="A16" s="18" t="str">
        <x:v>Sản phẩm tự giải thích</x:v>
      </x:c>
      <x:c r="B16" s="18" t="n">
        <x:v>1</x:v>
      </x:c>
      <x:c r="C16" s="18" t="n">
        <x:v>2</x:v>
      </x:c>
      <x:c r="D16" s="18" t="n">
        <x:v>4</x:v>
      </x:c>
      <x:c r="E16" s="18" t="n">
        <x:v>3</x:v>
      </x:c>
      <x:c r="F16" s="18" t="str">
        <x:v>Bác sĩ cần demo trên mẫu ghi chú</x:v>
      </x:c>
      <x:c r="G16" s="2"/>
      <x:c r="H16" s="2"/>
      <x:c r="I16" s="2"/>
      <x:c r="J16" s="2"/>
      <x:c r="K16" s="2"/>
    </x:row>
    <x:row r="17" ht="15" hidden="0" customHeight="1">
      <x:c r="A17" s="20" t="str">
        <x:v>Niềm tin lâm sàng</x:v>
      </x:c>
      <x:c r="B17" s="20" t="n">
        <x:v>1</x:v>
      </x:c>
      <x:c r="C17" s="20" t="n">
        <x:v>1</x:v>
      </x:c>
      <x:c r="D17" s="20" t="n">
        <x:v>5</x:v>
      </x:c>
      <x:c r="E17" s="20" t="n">
        <x:v>4</x:v>
      </x:c>
      <x:c r="F17" s="20" t="str">
        <x:v>Cần người giải thích eval và dữ liệu</x:v>
      </x:c>
      <x:c r="G17" s="2"/>
      <x:c r="H17" s="2"/>
      <x:c r="I17" s="2"/>
      <x:c r="J17" s="2"/>
      <x:c r="K17" s="2"/>
    </x:row>
    <x:row r="18" ht="15" hidden="0" customHeight="1">
      <x:c r="A18" s="20" t="str">
        <x:v>Hỗ trợ tích hợp</x:v>
      </x:c>
      <x:c r="B18" s="20" t="n">
        <x:v>1</x:v>
      </x:c>
      <x:c r="C18" s="20" t="n">
        <x:v>2</x:v>
      </x:c>
      <x:c r="D18" s="20" t="n">
        <x:v>5</x:v>
      </x:c>
      <x:c r="E18" s="20" t="n">
        <x:v>4</x:v>
      </x:c>
      <x:c r="F18" s="20" t="str">
        <x:v>EHR khác nhau theo phòng khám</x:v>
      </x:c>
      <x:c r="G18" s="2"/>
      <x:c r="H18" s="2"/>
      <x:c r="I18" s="2"/>
      <x:c r="J18" s="2"/>
      <x:c r="K18" s="2"/>
    </x:row>
    <x:row r="19" ht="15" hidden="0" customHeight="1">
      <x:c r="A19" s="20" t="str">
        <x:v>Khả năng chi trả CAC</x:v>
      </x:c>
      <x:c r="B19" s="20" t="n">
        <x:v>1</x:v>
      </x:c>
      <x:c r="C19" s="20" t="n">
        <x:v>5</x:v>
      </x:c>
      <x:c r="D19" s="20" t="n">
        <x:v>3</x:v>
      </x:c>
      <x:c r="E19" s="20" t="n">
        <x:v>4</x:v>
      </x:c>
      <x:c r="F19" s="20" t="str">
        <x:v>Founder-led nằm trong ngân sách</x:v>
      </x:c>
      <x:c r="G19" s="2"/>
      <x:c r="H19" s="2"/>
      <x:c r="I19" s="2"/>
      <x:c r="J19" s="2"/>
      <x:c r="K19" s="2"/>
    </x:row>
    <x:row r="20" ht="15" hidden="0" customHeight="1">
      <x:c r="A20" s="20" t="str">
        <x:v>Tốc độ học từ khách</x:v>
      </x:c>
      <x:c r="B20" s="20" t="n">
        <x:v>1</x:v>
      </x:c>
      <x:c r="C20" s="20" t="n">
        <x:v>3</x:v>
      </x:c>
      <x:c r="D20" s="20" t="n">
        <x:v>5</x:v>
      </x:c>
      <x:c r="E20" s="20" t="n">
        <x:v>3</x:v>
      </x:c>
      <x:c r="F20" s="20" t="str">
        <x:v>Phỏng vấn trực tiếp cho dữ liệu sửa note</x:v>
      </x:c>
      <x:c r="G20" s="2"/>
      <x:c r="H20" s="2"/>
      <x:c r="I20" s="2"/>
      <x:c r="J20" s="2"/>
      <x:c r="K20" s="2"/>
    </x:row>
    <x:row r="21" ht="15" hidden="0" customHeight="1">
      <x:c r="A21" s="20" t="str">
        <x:v>Khả năng nhân rộng</x:v>
      </x:c>
      <x:c r="B21" s="20" t="n">
        <x:v>1</x:v>
      </x:c>
      <x:c r="C21" s="20" t="n">
        <x:v>5</x:v>
      </x:c>
      <x:c r="D21" s="20" t="n">
        <x:v>3</x:v>
      </x:c>
      <x:c r="E21" s="20" t="n">
        <x:v>4</x:v>
      </x:c>
      <x:c r="F21" s="20" t="str">
        <x:v>Sales chỉ scale sau playbook</x:v>
      </x:c>
      <x:c r="G21" s="2"/>
      <x:c r="H21" s="2"/>
      <x:c r="I21" s="2"/>
      <x:c r="J21" s="2"/>
      <x:c r="K21" s="2"/>
    </x:row>
    <x:row r="22" ht="15" hidden="0" customHeight="1">
      <x:c r="A22" s="25" t="str">
        <x:v>Tổng</x:v>
      </x:c>
      <x:c r="B22" s="25"/>
      <x:c r="C22" s="25" t="n">
        <x:f>SUM(C16:C21)</x:f>
        <x:v>18</x:v>
      </x:c>
      <x:c r="D22" s="66" t="n">
        <x:f>SUM(D16:D21)</x:f>
        <x:v>25</x:v>
      </x:c>
      <x:c r="E22" s="25" t="n">
        <x:f>SUM(E16:E21)</x:f>
        <x:v>22</x:v>
      </x:c>
      <x:c r="F22" s="25" t="str">
        <x:v>Điểm cao nhất được chọn</x:v>
      </x:c>
      <x:c r="G22" s="2"/>
      <x:c r="H22" s="2"/>
      <x:c r="I22" s="2"/>
      <x:c r="J22" s="2"/>
      <x:c r="K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5" hidden="0" customHeight="1">
      <x:c r="A24" s="35" t="str">
        <x:v>Điểm xuất hiện trong workflow</x:v>
      </x:c>
      <x:c r="B24" s="36"/>
      <x:c r="C24" s="36"/>
      <x:c r="D24" s="36"/>
      <x:c r="E24" s="36"/>
      <x:c r="F24" s="37"/>
      <x:c r="G24" s="2"/>
      <x:c r="H24" s="2"/>
      <x:c r="I24" s="2"/>
      <x:c r="J24" s="2"/>
      <x:c r="K24" s="2"/>
    </x:row>
    <x:row r="25" ht="60" hidden="0" customHeight="1">
      <x:c r="A25" s="27" t="str">
        <x:v>Pain moment</x:v>
      </x:c>
      <x:c r="B25" s="30" t="str">
        <x:v>17:30 sau ca khám cuối, bác sĩ vẫn đang chép nội dung hội thoại vào EHR trên trình duyệt để hoàn tất hồ sơ trước khi rời phòng khám.</x:v>
      </x:c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6" hidden="0" customHeight="1">
      <x:c r="A26" s="28" t="str">
        <x:v>Điểm nhúng</x:v>
      </x:c>
      <x:c r="B26" s="31" t="str">
        <x:v>Chrome extension và nút Tạo ghi chú ngay trong EHR; không yêu cầu mở website riêng.</x:v>
      </x:c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60" hidden="0" customHeight="1">
      <x:c r="A27" s="29" t="str">
        <x:v>Job</x:v>
      </x:c>
      <x:c r="B27" s="32" t="str">
        <x:v>Một phiên khám tối đa 20 phút tạo ra bản nháp SOAP và được bác sĩ duyệt/lưu trong 24 giờ; loại trừ phiên hủy, âm thanh không đủ và bản nháp chưa được duyệt.</x:v>
      </x:c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5" hidden="0" customHeight="1">
      <x:c r="A29" s="35" t="str">
        <x:v>Kế hoạch triển khai</x:v>
      </x:c>
      <x:c r="B29" s="36"/>
      <x:c r="C29" s="36"/>
      <x:c r="D29" s="36"/>
      <x:c r="E29" s="36"/>
      <x:c r="F29" s="37"/>
      <x:c r="G29" s="2"/>
      <x:c r="H29" s="2"/>
      <x:c r="I29" s="2"/>
      <x:c r="J29" s="2"/>
      <x:c r="K29" s="2"/>
    </x:row>
    <x:row r="30" ht="15" hidden="0" customHeight="1">
      <x:c r="A30" s="10" t="str">
        <x:v>Giai đoạn</x:v>
      </x:c>
      <x:c r="B30" s="11" t="str">
        <x:v>Thời gian</x:v>
      </x:c>
      <x:c r="C30" s="11" t="str">
        <x:v>Mục tiêu</x:v>
      </x:c>
      <x:c r="D30" s="11" t="str">
        <x:v>Hoạt động</x:v>
      </x:c>
      <x:c r="E30" s="11" t="str">
        <x:v>KPI quyết định</x:v>
      </x:c>
      <x:c r="F30" s="12" t="str">
        <x:v>Owner</x:v>
      </x:c>
      <x:c r="G30" s="2"/>
      <x:c r="H30" s="2"/>
      <x:c r="I30" s="2"/>
      <x:c r="J30" s="2"/>
      <x:c r="K30" s="2"/>
    </x:row>
    <x:row r="31" ht="24" hidden="0" customHeight="1">
      <x:c r="A31" s="30" t="str">
        <x:v>Hiểu sâu</x:v>
      </x:c>
      <x:c r="B31" s="30" t="str">
        <x:v>12/10-08/11/2026</x:v>
      </x:c>
      <x:c r="C31" s="30" t="str">
        <x:v>3 phòng khám, 10 bác sĩ</x:v>
      </x:c>
      <x:c r="D31" s="30" t="str">
        <x:v>Pilot tận tay; thu 300 cặp note AI và note đã sửa; phỏng vấn 2 lần/bác sĩ</x:v>
      </x:c>
      <x:c r="E31" s="30" t="str">
        <x:v>Completion &gt;=80%; 0 hallucination nghiêm trọng; median review &lt;=3 phút</x:v>
      </x:c>
      <x:c r="F31" s="30" t="str">
        <x:v>Nguyễn Thị Bảo Trang</x:v>
      </x:c>
      <x:c r="G31" s="2"/>
      <x:c r="H31" s="2"/>
      <x:c r="I31" s="2"/>
      <x:c r="J31" s="2"/>
      <x:c r="K31" s="2"/>
    </x:row>
    <x:row r="32" ht="24" hidden="0" customHeight="1">
      <x:c r="A32" s="31" t="str">
        <x:v>Lặp lại</x:v>
      </x:c>
      <x:c r="B32" s="31" t="str">
        <x:v>09/11/2026-10/01/2027</x:v>
      </x:c>
      <x:c r="C32" s="31" t="str">
        <x:v>8 khách trả phí, 30 bác sĩ</x:v>
      </x:c>
      <x:c r="D32" s="31" t="str">
        <x:v>Chuẩn hóa onboarding, template và tích hợp EHR; founder-led demo từ referral</x:v>
      </x:c>
      <x:c r="E32" s="31" t="str">
        <x:v>8,000 note; completion &gt;=90%; GM &gt;=65%; CAC &lt;=10 triệu</x:v>
      </x:c>
      <x:c r="F32" s="31" t="str">
        <x:v>Nguyễn Thị Bảo Trang</x:v>
      </x:c>
      <x:c r="G32" s="2"/>
      <x:c r="H32" s="2"/>
      <x:c r="I32" s="2"/>
      <x:c r="J32" s="2"/>
      <x:c r="K32" s="2"/>
    </x:row>
    <x:row r="33" ht="24" hidden="0" customHeight="1">
      <x:c r="A33" s="32" t="str">
        <x:v>Mở rộng</x:v>
      </x:c>
      <x:c r="B33" s="32" t="str">
        <x:v>Từ 11/01/2027</x:v>
      </x:c>
      <x:c r="C33" s="32" t="str">
        <x:v>Mở thêm 1 chuyên khoa</x:v>
      </x:c>
      <x:c r="D33" s="32" t="str">
        <x:v>Chỉ chọn nhi hoặc da liễu dựa trên specialty có accuracy và retention tốt nhất</x:v>
      </x:c>
      <x:c r="E33" s="32" t="str">
        <x:v>90-day retention &gt;=80%; major-edit rate &lt;=15%</x:v>
      </x:c>
      <x:c r="F33" s="32" t="str">
        <x:v>Nguyễn Thị Bảo Trang</x:v>
      </x:c>
      <x:c r="G33" s="2"/>
      <x:c r="H33" s="2"/>
      <x:c r="I33" s="2"/>
      <x:c r="J33" s="2"/>
      <x:c r="K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  <x:mergeCell ref="A5:F5"/>
    <x:mergeCell ref="A24:F24"/>
    <x:mergeCell ref="A29:F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B8A"/>
  </x:sheetPr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32" hidden="0" customWidth="1"/>
    <x:col min="5" max="5" width="16" hidden="0" customWidth="1"/>
    <x:col min="6" max="6" width="5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hidden="0" customHeight="1">
      <x:c r="A2" s="3" t="str">
        <x:v>Benchmark và nguồn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A3" s="4" t="str">
        <x:v>Chỉ dùng giá công khai có thể kiểm tra; giá có thể thay đổi sau ngày ghi nhận.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5" hidden="0" customHeight="1">
      <x:c r="A5" s="10" t="str">
        <x:v>Loại</x:v>
      </x:c>
      <x:c r="B5" s="11" t="str">
        <x:v>Sản phẩm</x:v>
      </x:c>
      <x:c r="C5" s="11" t="str">
        <x:v>Đơn vị tính</x:v>
      </x:c>
      <x:c r="D5" s="11" t="str">
        <x:v>Giá công khai</x:v>
      </x:c>
      <x:c r="E5" s="11" t="str">
        <x:v>Ngày kiểm tra</x:v>
      </x:c>
      <x:c r="F5" s="12" t="str">
        <x:v>Nguồn</x:v>
      </x:c>
      <x:c r="G5" s="2"/>
      <x:c r="H5" s="2"/>
      <x:c r="I5" s="2"/>
      <x:c r="J5" s="2"/>
      <x:c r="K5" s="2"/>
    </x:row>
    <x:row r="6" ht="15" hidden="0" customHeight="1">
      <x:c r="A6" s="30" t="str">
        <x:v>Đối thủ</x:v>
      </x:c>
      <x:c r="B6" s="30" t="str">
        <x:v>Freed Starter</x:v>
      </x:c>
      <x:c r="C6" s="30" t="str">
        <x:v>Seat + quota 40 note</x:v>
      </x:c>
      <x:c r="D6" s="30" t="str">
        <x:v>$39/tháng</x:v>
      </x:c>
      <x:c r="E6" s="30" t="str">
        <x:v>08/10/2026</x:v>
      </x:c>
      <x:c r="F6" s="30" t="str">
        <x:v>https://www.getfreed.ai/pricing</x:v>
      </x:c>
      <x:c r="G6" s="2"/>
      <x:c r="H6" s="2"/>
      <x:c r="I6" s="2"/>
      <x:c r="J6" s="2"/>
      <x:c r="K6" s="2"/>
    </x:row>
    <x:row r="7" ht="15" hidden="0" customHeight="1">
      <x:c r="A7" s="31" t="str">
        <x:v>Đối thủ</x:v>
      </x:c>
      <x:c r="B7" s="31" t="str">
        <x:v>Freed Core</x:v>
      </x:c>
      <x:c r="C7" s="31" t="str">
        <x:v>Seat, unlimited note</x:v>
      </x:c>
      <x:c r="D7" s="31" t="str">
        <x:v>$79/tháng</x:v>
      </x:c>
      <x:c r="E7" s="31" t="str">
        <x:v>08/10/2026</x:v>
      </x:c>
      <x:c r="F7" s="31" t="str">
        <x:v>https://www.getfreed.ai/pricing</x:v>
      </x:c>
      <x:c r="G7" s="2"/>
      <x:c r="H7" s="2"/>
      <x:c r="I7" s="2"/>
      <x:c r="J7" s="2"/>
      <x:c r="K7" s="2"/>
    </x:row>
    <x:row r="8" ht="15" hidden="0" customHeight="1">
      <x:c r="A8" s="31" t="str">
        <x:v>Đối thủ</x:v>
      </x:c>
      <x:c r="B8" s="31" t="str">
        <x:v>PatientNotes Team</x:v>
      </x:c>
      <x:c r="C8" s="31" t="str">
        <x:v>Seat, unlimited visit</x:v>
      </x:c>
      <x:c r="D8" s="31" t="str">
        <x:v>$50/user/tháng trả năm; $70 trả tháng</x:v>
      </x:c>
      <x:c r="E8" s="31" t="str">
        <x:v>08/10/2026</x:v>
      </x:c>
      <x:c r="F8" s="31" t="str">
        <x:v>https://patientnotes.ai/pricing</x:v>
      </x:c>
      <x:c r="G8" s="2"/>
      <x:c r="H8" s="2"/>
      <x:c r="I8" s="2"/>
      <x:c r="J8" s="2"/>
      <x:c r="K8" s="2"/>
    </x:row>
    <x:row r="9" ht="15" hidden="0" customHeight="1">
      <x:c r="A9" s="31" t="str">
        <x:v>Hạ tầng</x:v>
      </x:c>
      <x:c r="B9" s="31" t="str">
        <x:v>OpenAI gpt-transcribe</x:v>
      </x:c>
      <x:c r="C9" s="31" t="str">
        <x:v>Phút audio</x:v>
      </x:c>
      <x:c r="D9" s="31" t="str">
        <x:v>$0.0045/phút</x:v>
      </x:c>
      <x:c r="E9" s="31" t="str">
        <x:v>08/10/2026</x:v>
      </x:c>
      <x:c r="F9" s="31" t="str">
        <x:v>https://platform.openai.com/pricing</x:v>
      </x:c>
      <x:c r="G9" s="2"/>
      <x:c r="H9" s="2"/>
      <x:c r="I9" s="2"/>
      <x:c r="J9" s="2"/>
      <x:c r="K9" s="2"/>
    </x:row>
    <x:row r="10" ht="15" hidden="0" customHeight="1">
      <x:c r="A10" s="31" t="str">
        <x:v>Hạ tầng</x:v>
      </x:c>
      <x:c r="B10" s="31" t="str">
        <x:v>OpenAI GPT-5.4 mini</x:v>
      </x:c>
      <x:c r="C10" s="31" t="str">
        <x:v>1M token</x:v>
      </x:c>
      <x:c r="D10" s="31" t="str">
        <x:v>$0.75 input; $0.075 cached; $4.50 output</x:v>
      </x:c>
      <x:c r="E10" s="31" t="str">
        <x:v>08/10/2026</x:v>
      </x:c>
      <x:c r="F10" s="31" t="str">
        <x:v>https://developers.openai.com/api/docs/models/gpt-5.4-mini</x:v>
      </x:c>
      <x:c r="G10" s="2"/>
      <x:c r="H10" s="2"/>
      <x:c r="I10" s="2"/>
      <x:c r="J10" s="2"/>
      <x:c r="K10" s="2"/>
    </x:row>
    <x:row r="11" ht="15" hidden="0" customHeight="1">
      <x:c r="A11" s="32" t="str">
        <x:v>Đối chiếu</x:v>
      </x:c>
      <x:c r="B11" s="32" t="str">
        <x:v>Deepgram Nova-3 Multilingual</x:v>
      </x:c>
      <x:c r="C11" s="32" t="str">
        <x:v>Phút streaming</x:v>
      </x:c>
      <x:c r="D11" s="32" t="str">
        <x:v>$0.0092 list; $0.0058 promo</x:v>
      </x:c>
      <x:c r="E11" s="32" t="str">
        <x:v>08/10/2026</x:v>
      </x:c>
      <x:c r="F11" s="32" t="str">
        <x:v>https://deepgram.com/pricing</x:v>
      </x:c>
      <x:c r="G11" s="2"/>
      <x:c r="H11" s="2"/>
      <x:c r="I11" s="2"/>
      <x:c r="J11" s="2"/>
      <x:c r="K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15" hidden="0" customHeight="1">
      <x:c r="A13" s="35" t="str">
        <x:v>Decision note</x:v>
      </x:c>
      <x:c r="B13" s="36"/>
      <x:c r="C13" s="36"/>
      <x:c r="D13" s="36"/>
      <x:c r="E13" s="36"/>
      <x:c r="F13" s="37"/>
      <x:c r="G13" s="2"/>
      <x:c r="H13" s="2"/>
      <x:c r="I13" s="2"/>
      <x:c r="J13" s="2"/>
      <x:c r="K13" s="2"/>
    </x:row>
    <x:row r="14" ht="36" hidden="0" customHeight="1">
      <x:c r="A14" s="27" t="str">
        <x:v>Value Metric</x:v>
      </x:c>
      <x:c r="B14" s="30" t="str">
        <x:v>Hybrid: phí tối thiểu 1.990.000 VND/clinician/tháng bao gồm 200 job; 10.000 VND/job từ job 201.</x:v>
      </x:c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36" hidden="0" customHeight="1">
      <x:c r="A15" s="28" t="str">
        <x:v>Attribution</x:v>
      </x:c>
      <x:c r="B15" s="31" t="str">
        <x:v>Cao (8/10): hệ thống ghi được trạng thái generated -&gt; edited -&gt; approved -&gt; saved và diff của bác sĩ.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36" hidden="0" customHeight="1">
      <x:c r="A16" s="28" t="str">
        <x:v>Autonomy</x:v>
      </x:c>
      <x:c r="B16" s="31" t="str">
        <x:v>Trung bình (5/10): AI tự tạo bản nháp nhưng bác sĩ bắt buộc duyệt trước khi lưu EHR.</x:v>
      </x:c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60" hidden="0" customHeight="1">
      <x:c r="A17" s="29" t="str">
        <x:v>Market override</x:v>
      </x:c>
      <x:c r="B17" s="32" t="str">
        <x:v>Không dùng outcome thuần vì phòng khám SME cần hóa đơn dự đoán được; gói tối thiểu giữ ngân sách ổn định, overage giữ doanh thu đi cùng giá trị.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H2"/>
    <x:mergeCell ref="A3:H3"/>
    <x:mergeCell ref="A13:F13"/>
  </x:mergeCells>
  <x:pageMargins left="0.7" right="0.7" top="0.75" bottom="0.75" header="0.3" footer="0.3"/>
</x:worksheet>
</file>